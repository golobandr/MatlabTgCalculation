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oband\pythonProjects\talbot_random\matlab_project\"/>
    </mc:Choice>
  </mc:AlternateContent>
  <xr:revisionPtr revIDLastSave="0" documentId="13_ncr:1_{2C5E9A86-7F8B-4A89-B477-F44DA5A5A17D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PrecalculatedData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B5" i="1"/>
  <c r="C5" i="1"/>
  <c r="D5" i="1"/>
  <c r="E5" i="1"/>
  <c r="F5" i="1"/>
  <c r="G5" i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J5" i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K5" i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M5" i="1"/>
  <c r="N5" i="1"/>
  <c r="P5" i="1"/>
  <c r="Q5" i="1"/>
  <c r="R5" i="1"/>
  <c r="S5" i="1"/>
  <c r="T5" i="1"/>
  <c r="U5" i="1"/>
  <c r="V5" i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W5" i="1"/>
  <c r="W6" i="1" s="1"/>
  <c r="W7" i="1" s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X5" i="1"/>
  <c r="Y5" i="1"/>
  <c r="Y6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B6" i="1"/>
  <c r="C6" i="1"/>
  <c r="D6" i="1"/>
  <c r="E6" i="1"/>
  <c r="F6" i="1"/>
  <c r="G6" i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M6" i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N6" i="1"/>
  <c r="P6" i="1"/>
  <c r="Q6" i="1"/>
  <c r="R6" i="1"/>
  <c r="S6" i="1"/>
  <c r="T6" i="1"/>
  <c r="U6" i="1"/>
  <c r="X6" i="1"/>
  <c r="B7" i="1"/>
  <c r="C7" i="1"/>
  <c r="D7" i="1"/>
  <c r="E7" i="1"/>
  <c r="F7" i="1"/>
  <c r="G7" i="1"/>
  <c r="N7" i="1"/>
  <c r="N8" i="1" s="1"/>
  <c r="P7" i="1"/>
  <c r="Q7" i="1"/>
  <c r="R7" i="1"/>
  <c r="S7" i="1"/>
  <c r="T7" i="1"/>
  <c r="U7" i="1"/>
  <c r="X7" i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Y7" i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C8" i="1"/>
  <c r="D8" i="1"/>
  <c r="E8" i="1"/>
  <c r="F8" i="1"/>
  <c r="G8" i="1"/>
  <c r="P8" i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Q8" i="1"/>
  <c r="R8" i="1"/>
  <c r="S8" i="1"/>
  <c r="T8" i="1"/>
  <c r="U8" i="1"/>
  <c r="C9" i="1"/>
  <c r="C10" i="1" s="1"/>
  <c r="D9" i="1"/>
  <c r="E9" i="1"/>
  <c r="F9" i="1"/>
  <c r="G9" i="1"/>
  <c r="N9" i="1"/>
  <c r="Q9" i="1"/>
  <c r="Q10" i="1" s="1"/>
  <c r="R9" i="1"/>
  <c r="S9" i="1"/>
  <c r="T9" i="1"/>
  <c r="U9" i="1"/>
  <c r="D10" i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E10" i="1"/>
  <c r="F10" i="1"/>
  <c r="G10" i="1"/>
  <c r="N10" i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R10" i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S10" i="1"/>
  <c r="T10" i="1"/>
  <c r="U10" i="1"/>
  <c r="C11" i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E11" i="1"/>
  <c r="E12" i="1" s="1"/>
  <c r="F11" i="1"/>
  <c r="G11" i="1"/>
  <c r="Q11" i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S11" i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T11" i="1"/>
  <c r="U11" i="1"/>
  <c r="F12" i="1"/>
  <c r="G12" i="1"/>
  <c r="T12" i="1"/>
  <c r="U12" i="1"/>
  <c r="E13" i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F13" i="1"/>
  <c r="G13" i="1"/>
  <c r="T13" i="1"/>
  <c r="U13" i="1"/>
  <c r="F14" i="1"/>
  <c r="G14" i="1"/>
  <c r="T14" i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U14" i="1"/>
  <c r="F15" i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G15" i="1"/>
  <c r="U15" i="1"/>
  <c r="G16" i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U16" i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G27" i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K75" i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X75" i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L76" i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C80" i="1"/>
  <c r="C81" i="1" s="1"/>
  <c r="C82" i="1" s="1"/>
  <c r="C83" i="1" s="1"/>
  <c r="C84" i="1" s="1"/>
  <c r="C85" i="1" s="1"/>
  <c r="C86" i="1" s="1"/>
  <c r="C87" i="1" s="1"/>
  <c r="E82" i="1"/>
  <c r="E83" i="1" s="1"/>
  <c r="E84" i="1" s="1"/>
  <c r="E85" i="1" s="1"/>
  <c r="E86" i="1" s="1"/>
  <c r="E87" i="1" s="1"/>
  <c r="F83" i="1"/>
  <c r="F84" i="1" s="1"/>
  <c r="F85" i="1" s="1"/>
  <c r="F86" i="1" s="1"/>
  <c r="F87" i="1" s="1"/>
  <c r="G84" i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J86" i="1"/>
  <c r="J87" i="1" s="1"/>
  <c r="U87" i="1"/>
  <c r="U88" i="1" s="1"/>
  <c r="C88" i="1"/>
  <c r="C89" i="1" s="1"/>
  <c r="C90" i="1" s="1"/>
  <c r="C91" i="1" s="1"/>
  <c r="C92" i="1" s="1"/>
  <c r="C93" i="1" s="1"/>
  <c r="E88" i="1"/>
  <c r="E89" i="1" s="1"/>
  <c r="E90" i="1" s="1"/>
  <c r="E91" i="1" s="1"/>
  <c r="E92" i="1" s="1"/>
  <c r="E93" i="1" s="1"/>
  <c r="E94" i="1" s="1"/>
  <c r="E95" i="1" s="1"/>
  <c r="F88" i="1"/>
  <c r="F89" i="1" s="1"/>
  <c r="F90" i="1" s="1"/>
  <c r="F91" i="1" s="1"/>
  <c r="F92" i="1" s="1"/>
  <c r="F93" i="1" s="1"/>
  <c r="F94" i="1" s="1"/>
  <c r="F95" i="1" s="1"/>
  <c r="F96" i="1" s="1"/>
  <c r="J88" i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T88" i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W88" i="1"/>
  <c r="W89" i="1" s="1"/>
  <c r="W90" i="1" s="1"/>
  <c r="W91" i="1" s="1"/>
  <c r="W92" i="1" s="1"/>
  <c r="W93" i="1" s="1"/>
  <c r="U89" i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L90" i="1"/>
  <c r="Y90" i="1"/>
  <c r="Y91" i="1" s="1"/>
  <c r="Y92" i="1" s="1"/>
  <c r="L91" i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N92" i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P93" i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Y93" i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C94" i="1"/>
  <c r="C95" i="1" s="1"/>
  <c r="C96" i="1" s="1"/>
  <c r="W94" i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A95" i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E96" i="1"/>
  <c r="C97" i="1"/>
  <c r="C98" i="1" s="1"/>
  <c r="C99" i="1" s="1"/>
  <c r="E97" i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F97" i="1"/>
  <c r="D98" i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F98" i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G98" i="1"/>
  <c r="G99" i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H99" i="1"/>
  <c r="H100" i="1" s="1"/>
  <c r="H101" i="1" s="1"/>
  <c r="C100" i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J101" i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H102" i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L102" i="1"/>
  <c r="L103" i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N105" i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W106" i="1"/>
  <c r="W107" i="1" s="1"/>
  <c r="W108" i="1" s="1"/>
  <c r="W109" i="1" s="1"/>
  <c r="W110" i="1" s="1"/>
  <c r="W111" i="1" s="1"/>
  <c r="S109" i="1"/>
  <c r="S110" i="1" s="1"/>
  <c r="P110" i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C111" i="1"/>
  <c r="S111" i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C112" i="1"/>
  <c r="C113" i="1" s="1"/>
  <c r="W112" i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123" i="1" s="1"/>
  <c r="W124" i="1" s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C114" i="1"/>
  <c r="C115" i="1" s="1"/>
  <c r="C116" i="1" s="1"/>
  <c r="C117" i="1" s="1"/>
  <c r="U116" i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C118" i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N119" i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E126" i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G127" i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L128" i="1"/>
  <c r="L129" i="1" s="1"/>
  <c r="L130" i="1" s="1"/>
  <c r="L131" i="1" s="1"/>
  <c r="L132" i="1" s="1"/>
  <c r="L133" i="1" s="1"/>
  <c r="L134" i="1" s="1"/>
  <c r="L135" i="1" s="1"/>
  <c r="L136" i="1" s="1"/>
  <c r="U132" i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R135" i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Y135" i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L137" i="1"/>
  <c r="L138" i="1" s="1"/>
  <c r="L139" i="1" s="1"/>
  <c r="L140" i="1" s="1"/>
  <c r="L141" i="1" s="1"/>
  <c r="L142" i="1" s="1"/>
  <c r="L143" i="1" s="1"/>
  <c r="L144" i="1" s="1"/>
  <c r="V138" i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  <c r="V165" i="1" s="1"/>
  <c r="V166" i="1" s="1"/>
  <c r="G143" i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S144" i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L145" i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K147" i="1"/>
  <c r="K148" i="1" s="1"/>
  <c r="K149" i="1" s="1"/>
  <c r="K150" i="1" s="1"/>
  <c r="K151" i="1" s="1"/>
  <c r="K152" i="1" s="1"/>
  <c r="K153" i="1" s="1"/>
  <c r="Y147" i="1"/>
  <c r="Y148" i="1" s="1"/>
  <c r="Y149" i="1" s="1"/>
  <c r="Y150" i="1" s="1"/>
  <c r="W149" i="1"/>
  <c r="W150" i="1" s="1"/>
  <c r="W151" i="1" s="1"/>
  <c r="W152" i="1" s="1"/>
  <c r="W153" i="1" s="1"/>
  <c r="W154" i="1" s="1"/>
  <c r="W155" i="1" s="1"/>
  <c r="W156" i="1" s="1"/>
  <c r="W157" i="1" s="1"/>
  <c r="W158" i="1" s="1"/>
  <c r="W159" i="1" s="1"/>
  <c r="W160" i="1" s="1"/>
  <c r="W161" i="1" s="1"/>
  <c r="Y151" i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H152" i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K154" i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C156" i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W162" i="1"/>
  <c r="W163" i="1" s="1"/>
  <c r="W164" i="1" s="1"/>
  <c r="W165" i="1" s="1"/>
  <c r="W166" i="1" s="1"/>
  <c r="W167" i="1" s="1"/>
  <c r="W168" i="1" s="1"/>
  <c r="W169" i="1" s="1"/>
  <c r="W170" i="1" s="1"/>
  <c r="W171" i="1" s="1"/>
  <c r="W172" i="1" s="1"/>
  <c r="W173" i="1" s="1"/>
  <c r="W174" i="1" s="1"/>
  <c r="W175" i="1" s="1"/>
  <c r="W176" i="1" s="1"/>
  <c r="W177" i="1" s="1"/>
  <c r="W178" i="1" s="1"/>
  <c r="W179" i="1" s="1"/>
  <c r="W180" i="1" s="1"/>
  <c r="W181" i="1" s="1"/>
  <c r="W182" i="1" s="1"/>
  <c r="W183" i="1" s="1"/>
  <c r="W184" i="1" s="1"/>
  <c r="W185" i="1" s="1"/>
  <c r="G164" i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K165" i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V167" i="1"/>
  <c r="V168" i="1" s="1"/>
  <c r="V169" i="1" s="1"/>
  <c r="V170" i="1" s="1"/>
  <c r="V171" i="1" s="1"/>
  <c r="V172" i="1" s="1"/>
  <c r="V173" i="1" s="1"/>
  <c r="V174" i="1" s="1"/>
  <c r="V175" i="1" s="1"/>
  <c r="V176" i="1" s="1"/>
  <c r="V177" i="1" s="1"/>
  <c r="V178" i="1" s="1"/>
  <c r="V179" i="1" s="1"/>
  <c r="V180" i="1" s="1"/>
  <c r="V181" i="1" s="1"/>
  <c r="V182" i="1" s="1"/>
  <c r="V183" i="1" s="1"/>
  <c r="V184" i="1" s="1"/>
  <c r="V185" i="1" s="1"/>
  <c r="V186" i="1" s="1"/>
  <c r="V187" i="1" s="1"/>
  <c r="V188" i="1" s="1"/>
  <c r="V189" i="1" s="1"/>
  <c r="V190" i="1" s="1"/>
  <c r="V191" i="1" s="1"/>
  <c r="V192" i="1" s="1"/>
  <c r="V193" i="1" s="1"/>
  <c r="V194" i="1" s="1"/>
  <c r="V195" i="1" s="1"/>
  <c r="V196" i="1" s="1"/>
  <c r="V197" i="1" s="1"/>
  <c r="V198" i="1" s="1"/>
  <c r="Y168" i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C170" i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G179" i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K182" i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W186" i="1"/>
  <c r="W187" i="1" s="1"/>
  <c r="W188" i="1" s="1"/>
  <c r="W189" i="1" s="1"/>
  <c r="W190" i="1" s="1"/>
  <c r="W191" i="1" s="1"/>
  <c r="W192" i="1" s="1"/>
  <c r="W193" i="1" s="1"/>
  <c r="W194" i="1" s="1"/>
  <c r="W195" i="1" s="1"/>
  <c r="S196" i="1"/>
  <c r="S197" i="1" s="1"/>
  <c r="S198" i="1" s="1"/>
  <c r="S199" i="1" s="1"/>
  <c r="S200" i="1" s="1"/>
  <c r="S201" i="1" s="1"/>
  <c r="S202" i="1" s="1"/>
  <c r="S203" i="1" s="1"/>
  <c r="W196" i="1"/>
  <c r="W197" i="1" s="1"/>
  <c r="W198" i="1" s="1"/>
  <c r="W199" i="1" s="1"/>
  <c r="W200" i="1" s="1"/>
  <c r="W201" i="1" s="1"/>
  <c r="W202" i="1" s="1"/>
  <c r="W203" i="1" s="1"/>
  <c r="V199" i="1"/>
  <c r="V200" i="1" s="1"/>
  <c r="V201" i="1" s="1"/>
  <c r="V202" i="1" s="1"/>
  <c r="V203" i="1" s="1"/>
  <c r="W4" i="1"/>
  <c r="U4" i="1" l="1"/>
  <c r="M3" i="1"/>
  <c r="G3" i="1"/>
  <c r="C4" i="1"/>
  <c r="E4" i="1"/>
  <c r="K4" i="1"/>
  <c r="P4" i="1"/>
  <c r="Q4" i="1"/>
  <c r="R4" i="1"/>
  <c r="S4" i="1"/>
  <c r="T4" i="1"/>
  <c r="V4" i="1"/>
  <c r="X4" i="1"/>
  <c r="Y4" i="1"/>
  <c r="B4" i="1"/>
  <c r="A4" i="1"/>
  <c r="L3" i="1"/>
  <c r="L4" i="1" s="1"/>
  <c r="F3" i="1"/>
  <c r="F4" i="1" s="1"/>
  <c r="N3" i="1" l="1"/>
  <c r="H3" i="1"/>
  <c r="M4" i="1"/>
  <c r="G4" i="1"/>
  <c r="H4" i="1" l="1"/>
  <c r="D3" i="1"/>
  <c r="D4" i="1" s="1"/>
  <c r="N4" i="1"/>
  <c r="J3" i="1"/>
  <c r="J4" i="1" s="1"/>
</calcChain>
</file>

<file path=xl/sharedStrings.xml><?xml version="1.0" encoding="utf-8"?>
<sst xmlns="http://schemas.openxmlformats.org/spreadsheetml/2006/main" count="48" uniqueCount="36">
  <si>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</si>
  <si>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</si>
  <si>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</si>
  <si>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</si>
  <si>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Gaussian waist, mm⁻¹</t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</si>
  <si>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</si>
  <si>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</si>
  <si>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</si>
  <si>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Beam pump</t>
  </si>
  <si>
    <t>System</t>
  </si>
  <si>
    <t>Beam probe</t>
  </si>
  <si>
    <r>
      <t xml:space="preserve">Phase depth, </t>
    </r>
    <r>
      <rPr>
        <b/>
        <sz val="11"/>
        <color theme="1"/>
        <rFont val="Calibri"/>
        <family val="2"/>
      </rPr>
      <t>π rad</t>
    </r>
  </si>
  <si>
    <t>Thikness, mm</t>
  </si>
  <si>
    <t>Slit form and type</t>
  </si>
  <si>
    <t>Grating G</t>
  </si>
  <si>
    <t>Sample S</t>
  </si>
  <si>
    <t>G to S distance, mm</t>
  </si>
  <si>
    <t>G to PSD distance, m</t>
  </si>
  <si>
    <t>Additional</t>
  </si>
  <si>
    <t>Step division</t>
  </si>
  <si>
    <t>Debug data</t>
  </si>
  <si>
    <t>Save images</t>
  </si>
  <si>
    <t>Energy, keV</t>
  </si>
  <si>
    <t>Gaussian waist on G, mm</t>
  </si>
  <si>
    <t>Distance grating to lens, mm</t>
  </si>
  <si>
    <t>Slit depth, mm</t>
  </si>
  <si>
    <t>Lens L</t>
  </si>
  <si>
    <t>1D, square, phase</t>
  </si>
  <si>
    <t>Refractive index pump</t>
  </si>
  <si>
    <t>Refractive index probe</t>
  </si>
  <si>
    <t>Focal length pump, m</t>
  </si>
  <si>
    <t>Focal length probe, m</t>
  </si>
  <si>
    <t>N</t>
  </si>
  <si>
    <t>Re(n2), cm2/W</t>
  </si>
  <si>
    <t>Im(n2), cm2/W</t>
  </si>
  <si>
    <t>Intensity, W/cm2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</si>
</sst>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0B96-11C3-4BFF-B27F-93BF1FEFC529}">
  <dimension ref="A1:J3"/>
  <sheetViews>
    <sheetView workbookViewId="0">
      <selection activeCell="F4" sqref="F4"/>
    </sheetView>
  </sheetViews>
  <sheetFormatPr defaultRowHeight="15" x14ac:dyDescent="0.25"/>
  <cols>
    <col min="1" max="1" width="8" style="4" customWidth="1"/>
    <col min="2" max="2" width="15" style="4" customWidth="1"/>
    <col min="3" max="3" width="8" style="4" customWidth="1"/>
    <col min="4" max="4" width="14.42578125" style="4" customWidth="1"/>
    <col min="5" max="6" width="12.7109375" style="4" customWidth="1"/>
    <col min="7" max="7" width="15.42578125" style="4" customWidth="1"/>
    <col min="8" max="8" width="9.85546875" style="4" customWidth="1"/>
    <col min="9" max="10" width="12.7109375" style="4" customWidth="1"/>
    <col min="11" max="11" width="20.7109375" customWidth="1"/>
    <col min="12" max="12" width="10.5703125" customWidth="1"/>
    <col min="13" max="14" width="20.7109375" customWidth="1"/>
  </cols>
  <sheetData>
    <row r="1" spans="1:10" s="3" customFormat="1" x14ac:dyDescent="0.25">
      <c r="A1" s="12" t="s">
        <v>8</v>
      </c>
      <c r="B1" s="12"/>
      <c r="C1" s="12" t="s">
        <v>10</v>
      </c>
      <c r="D1" s="12"/>
      <c r="E1" s="12" t="s">
        <v>26</v>
      </c>
      <c r="F1" s="12"/>
      <c r="G1" s="12"/>
      <c r="H1" s="12" t="s">
        <v>14</v>
      </c>
      <c r="I1" s="12"/>
      <c r="J1" s="12"/>
    </row>
    <row r="2" spans="1:10" s="1" customFormat="1" ht="27.75" customHeight="1" x14ac:dyDescent="0.25">
      <c r="A2" s="2" t="s">
        <v>22</v>
      </c>
      <c r="B2" s="2" t="s">
        <v>23</v>
      </c>
      <c r="C2" s="2" t="s">
        <v>22</v>
      </c>
      <c r="D2" s="2" t="s">
        <v>23</v>
      </c>
      <c r="E2" s="2" t="s">
        <v>30</v>
      </c>
      <c r="F2" s="2" t="s">
        <v>31</v>
      </c>
      <c r="G2" s="2" t="s">
        <v>24</v>
      </c>
      <c r="H2" s="2" t="s">
        <v>25</v>
      </c>
      <c r="I2" s="2" t="s">
        <v>28</v>
      </c>
      <c r="J2" s="2" t="s">
        <v>29</v>
      </c>
    </row>
    <row r="3" spans="1:10" x14ac:dyDescent="0.25">
      <c r="A3" s="4">
        <v>5</v>
      </c>
      <c r="B3" s="4">
        <v>9.7000000000000003E-2</v>
      </c>
      <c r="C3" s="4">
        <v>7.24</v>
      </c>
      <c r="D3" s="4">
        <v>9.7000000000000003E-2</v>
      </c>
      <c r="E3" s="4">
        <v>1.3</v>
      </c>
      <c r="F3" s="4">
        <v>1.31</v>
      </c>
      <c r="G3" s="4">
        <v>1132</v>
      </c>
      <c r="H3" s="4">
        <v>0.5</v>
      </c>
      <c r="I3" s="4">
        <v>1.24E-7</v>
      </c>
      <c r="J3" s="4">
        <v>4.95E-8</v>
      </c>
    </row>
  </sheetData>
  <mergeCells count="4">
    <mergeCell ref="A1:B1"/>
    <mergeCell ref="C1:D1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AC203"/>
  <sheetViews>
    <sheetView tabSelected="1" topLeftCell="B1" zoomScale="85" zoomScaleNormal="85" workbookViewId="0">
      <selection activeCell="I3" sqref="I3:I203"/>
    </sheetView>
  </sheetViews>
  <sheetFormatPr defaultRowHeight="15" x14ac:dyDescent="0.25"/>
  <cols>
    <col min="1" max="1" width="19.85546875" style="7" customWidth="1"/>
    <col min="2" max="2" width="9.140625" style="8"/>
    <col min="3" max="3" width="9.140625" style="8" customWidth="1"/>
    <col min="4" max="4" width="12.28515625" style="8" customWidth="1"/>
    <col min="5" max="5" width="13.140625" style="8" customWidth="1"/>
    <col min="6" max="6" width="15.7109375" style="8" customWidth="1"/>
    <col min="7" max="7" width="12.28515625" style="8" customWidth="1"/>
    <col min="8" max="8" width="13.5703125" style="8" customWidth="1"/>
    <col min="9" max="9" width="10.7109375" style="8" customWidth="1"/>
    <col min="10" max="10" width="12.28515625" style="8" customWidth="1"/>
    <col min="11" max="11" width="12.7109375" style="8" customWidth="1"/>
    <col min="12" max="12" width="15.7109375" style="8" customWidth="1"/>
    <col min="13" max="13" width="12.7109375" style="8" customWidth="1"/>
    <col min="14" max="14" width="13.5703125" style="8" customWidth="1"/>
    <col min="15" max="15" width="10.7109375" style="8" customWidth="1"/>
    <col min="16" max="16" width="9.5703125" style="8" customWidth="1"/>
    <col min="17" max="18" width="8.7109375" style="8" customWidth="1"/>
    <col min="19" max="19" width="13.28515625" style="8" customWidth="1"/>
    <col min="20" max="20" width="12.5703125" style="8" customWidth="1"/>
    <col min="21" max="21" width="14" style="8" customWidth="1"/>
    <col min="22" max="22" width="9.140625" style="9" customWidth="1"/>
    <col min="23" max="23" width="8.140625" style="8" customWidth="1"/>
    <col min="24" max="24" width="7.85546875" style="8" customWidth="1"/>
    <col min="25" max="25" width="8" style="8" customWidth="1"/>
  </cols>
  <sheetData>
    <row r="1" spans="1:29" s="5" customFormat="1" x14ac:dyDescent="0.25">
      <c r="A1" s="13" t="s">
        <v>14</v>
      </c>
      <c r="B1" s="14"/>
      <c r="C1" s="15"/>
      <c r="D1" s="13" t="s">
        <v>8</v>
      </c>
      <c r="E1" s="14"/>
      <c r="F1" s="14"/>
      <c r="G1" s="14"/>
      <c r="H1" s="14"/>
      <c r="I1" s="15"/>
      <c r="J1" s="13" t="s">
        <v>10</v>
      </c>
      <c r="K1" s="14"/>
      <c r="L1" s="14"/>
      <c r="M1" s="14"/>
      <c r="N1" s="14"/>
      <c r="O1" s="15"/>
      <c r="P1" s="13" t="s">
        <v>15</v>
      </c>
      <c r="Q1" s="14"/>
      <c r="R1" s="15"/>
      <c r="S1" s="12" t="s">
        <v>9</v>
      </c>
      <c r="T1" s="12"/>
      <c r="U1" s="12"/>
      <c r="V1" s="12"/>
      <c r="W1" s="12"/>
      <c r="X1" s="12" t="s">
        <v>18</v>
      </c>
      <c r="Y1" s="12"/>
    </row>
    <row r="2" spans="1:29" s="1" customFormat="1" ht="30" customHeight="1" x14ac:dyDescent="0.25">
      <c r="A2" s="2" t="s">
        <v>13</v>
      </c>
      <c r="B2" s="2" t="s">
        <v>1</v>
      </c>
      <c r="C2" s="2" t="s">
        <v>0</v>
      </c>
      <c r="D2" s="2" t="s">
        <v>11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35</v>
      </c>
      <c r="J2" s="2" t="s">
        <v>11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35</v>
      </c>
      <c r="P2" s="2" t="s">
        <v>12</v>
      </c>
      <c r="Q2" s="2" t="s">
        <v>33</v>
      </c>
      <c r="R2" s="2" t="s">
        <v>34</v>
      </c>
      <c r="S2" s="2" t="s">
        <v>16</v>
      </c>
      <c r="T2" s="2" t="s">
        <v>17</v>
      </c>
      <c r="U2" s="2" t="s">
        <v>6</v>
      </c>
      <c r="V2" s="6" t="s">
        <v>7</v>
      </c>
      <c r="W2" s="2" t="s">
        <v>19</v>
      </c>
      <c r="X2" s="2" t="s">
        <v>20</v>
      </c>
      <c r="Y2" s="2" t="s">
        <v>21</v>
      </c>
    </row>
    <row r="3" spans="1:29" s="11" customFormat="1" ht="15" customHeight="1" x14ac:dyDescent="0.25">
      <c r="A3" s="7" t="s">
        <v>27</v>
      </c>
      <c r="B3" s="8">
        <v>0.2</v>
      </c>
      <c r="C3" s="8">
        <v>0.5</v>
      </c>
      <c r="D3" s="8">
        <f>2*(PrecalculatedData!I3*PrecalculatedData!H3/Data!H3*1000000-ROUND(PrecalculatedData!I3*PrecalculatedData!H3/Data!H3*1000000,0))</f>
        <v>0.5000806581706726</v>
      </c>
      <c r="E3" s="8">
        <v>0</v>
      </c>
      <c r="F3" s="8">
        <f>-1/(PrecalculatedData!E3*1000-PrecalculatedData!G3)</f>
        <v>-5.9523809523809521E-3</v>
      </c>
      <c r="G3" s="8">
        <f>IF(PrecalculatedData!B3="", 0, 2/PrecalculatedData!B3)</f>
        <v>20.618556701030926</v>
      </c>
      <c r="H3" s="8">
        <f>1.2398/PrecalculatedData!A3</f>
        <v>0.24796000000000001</v>
      </c>
      <c r="I3" s="8">
        <v>0</v>
      </c>
      <c r="J3" s="8">
        <f>2*(PrecalculatedData!J3*PrecalculatedData!H3/Data!N3*1000000 - ROUND(PrecalculatedData!J3*PrecalculatedData!H3/Data!N3*1000000,0))</f>
        <v>0.28906275205678333</v>
      </c>
      <c r="K3" s="8">
        <v>0</v>
      </c>
      <c r="L3" s="8">
        <f>-1/(PrecalculatedData!F3*1000-PrecalculatedData!G3)</f>
        <v>-5.6179775280898875E-3</v>
      </c>
      <c r="M3" s="8">
        <f>IF(PrecalculatedData!D3="", 0, 2/PrecalculatedData!D3)</f>
        <v>20.618556701030926</v>
      </c>
      <c r="N3" s="8">
        <f>1.2398/PrecalculatedData!C3</f>
        <v>0.17124309392265194</v>
      </c>
      <c r="O3" s="8">
        <v>300000</v>
      </c>
      <c r="P3" s="8">
        <v>1</v>
      </c>
      <c r="Q3" s="8">
        <v>2.9999999999999998E-14</v>
      </c>
      <c r="R3" s="8">
        <v>0</v>
      </c>
      <c r="S3" s="8">
        <v>10</v>
      </c>
      <c r="T3" s="8">
        <v>2.67</v>
      </c>
      <c r="U3" s="8">
        <v>20</v>
      </c>
      <c r="V3" s="9">
        <v>25</v>
      </c>
      <c r="W3" s="10">
        <v>40</v>
      </c>
      <c r="X3" s="10" t="s">
        <v>32</v>
      </c>
      <c r="Y3" s="10" t="s">
        <v>32</v>
      </c>
    </row>
    <row r="4" spans="1:29" x14ac:dyDescent="0.25">
      <c r="A4" s="7" t="str">
        <f>+A3</f>
        <v>1D, square, phase</v>
      </c>
      <c r="B4" s="8">
        <f>+B3</f>
        <v>0.2</v>
      </c>
      <c r="C4" s="8">
        <f t="shared" ref="C4:Y4" si="0">+C3</f>
        <v>0.5</v>
      </c>
      <c r="D4" s="8">
        <f t="shared" si="0"/>
        <v>0.5000806581706726</v>
      </c>
      <c r="E4" s="8">
        <f t="shared" si="0"/>
        <v>0</v>
      </c>
      <c r="F4" s="8">
        <f t="shared" si="0"/>
        <v>-5.9523809523809521E-3</v>
      </c>
      <c r="G4" s="8">
        <f t="shared" si="0"/>
        <v>20.618556701030926</v>
      </c>
      <c r="H4" s="8">
        <f t="shared" si="0"/>
        <v>0.24796000000000001</v>
      </c>
      <c r="I4" s="8">
        <v>1500</v>
      </c>
      <c r="J4" s="8">
        <f t="shared" si="0"/>
        <v>0.28906275205678333</v>
      </c>
      <c r="K4" s="8">
        <f t="shared" si="0"/>
        <v>0</v>
      </c>
      <c r="L4" s="8">
        <f t="shared" si="0"/>
        <v>-5.6179775280898875E-3</v>
      </c>
      <c r="M4" s="8">
        <f t="shared" si="0"/>
        <v>20.618556701030926</v>
      </c>
      <c r="N4" s="8">
        <f t="shared" si="0"/>
        <v>0.17124309392265194</v>
      </c>
      <c r="O4" s="8">
        <v>298500</v>
      </c>
      <c r="P4" s="8">
        <f t="shared" si="0"/>
        <v>1</v>
      </c>
      <c r="Q4" s="8">
        <f t="shared" si="0"/>
        <v>2.9999999999999998E-14</v>
      </c>
      <c r="R4" s="8">
        <f t="shared" si="0"/>
        <v>0</v>
      </c>
      <c r="S4" s="8">
        <f t="shared" si="0"/>
        <v>10</v>
      </c>
      <c r="T4" s="8">
        <f t="shared" si="0"/>
        <v>2.67</v>
      </c>
      <c r="U4" s="8">
        <f t="shared" si="0"/>
        <v>20</v>
      </c>
      <c r="V4" s="8">
        <f t="shared" si="0"/>
        <v>25</v>
      </c>
      <c r="W4" s="8">
        <f>+W3</f>
        <v>40</v>
      </c>
      <c r="X4" s="8" t="str">
        <f t="shared" si="0"/>
        <v>N</v>
      </c>
      <c r="Y4" s="8" t="str">
        <f t="shared" si="0"/>
        <v>N</v>
      </c>
      <c r="Z4" s="11"/>
      <c r="AA4" s="11"/>
      <c r="AB4" s="11"/>
      <c r="AC4" s="11"/>
    </row>
    <row r="5" spans="1:29" x14ac:dyDescent="0.25">
      <c r="A5" s="7" t="str">
        <f t="shared" ref="A5:P13" si="1">+A4</f>
        <v>1D, square, phase</v>
      </c>
      <c r="B5" s="8">
        <f t="shared" si="1"/>
        <v>0.2</v>
      </c>
      <c r="C5" s="8">
        <f t="shared" si="1"/>
        <v>0.5</v>
      </c>
      <c r="D5" s="8">
        <f t="shared" si="1"/>
        <v>0.5000806581706726</v>
      </c>
      <c r="E5" s="8">
        <f t="shared" si="1"/>
        <v>0</v>
      </c>
      <c r="F5" s="8">
        <f t="shared" si="1"/>
        <v>-5.9523809523809521E-3</v>
      </c>
      <c r="G5" s="8">
        <f t="shared" si="1"/>
        <v>20.618556701030926</v>
      </c>
      <c r="H5" s="8">
        <f t="shared" si="1"/>
        <v>0.24796000000000001</v>
      </c>
      <c r="I5" s="8">
        <v>3000</v>
      </c>
      <c r="J5" s="8">
        <f t="shared" si="1"/>
        <v>0.28906275205678333</v>
      </c>
      <c r="K5" s="8">
        <f t="shared" si="1"/>
        <v>0</v>
      </c>
      <c r="L5" s="8">
        <f t="shared" si="1"/>
        <v>-5.6179775280898875E-3</v>
      </c>
      <c r="M5" s="8">
        <f t="shared" si="1"/>
        <v>20.618556701030926</v>
      </c>
      <c r="N5" s="8">
        <f t="shared" si="1"/>
        <v>0.17124309392265194</v>
      </c>
      <c r="O5" s="8">
        <v>297000</v>
      </c>
      <c r="P5" s="8">
        <f t="shared" si="1"/>
        <v>1</v>
      </c>
      <c r="Q5" s="8">
        <f t="shared" ref="Q5:Y5" si="2">+Q4</f>
        <v>2.9999999999999998E-14</v>
      </c>
      <c r="R5" s="8">
        <f t="shared" si="2"/>
        <v>0</v>
      </c>
      <c r="S5" s="8">
        <f t="shared" si="2"/>
        <v>10</v>
      </c>
      <c r="T5" s="8">
        <f t="shared" si="2"/>
        <v>2.67</v>
      </c>
      <c r="U5" s="8">
        <f t="shared" si="2"/>
        <v>20</v>
      </c>
      <c r="V5" s="8">
        <f t="shared" si="2"/>
        <v>25</v>
      </c>
      <c r="W5" s="8">
        <f t="shared" si="2"/>
        <v>40</v>
      </c>
      <c r="X5" s="8" t="str">
        <f t="shared" si="2"/>
        <v>N</v>
      </c>
      <c r="Y5" s="8" t="str">
        <f t="shared" si="2"/>
        <v>N</v>
      </c>
      <c r="Z5" s="11"/>
      <c r="AA5" s="11"/>
      <c r="AB5" s="11"/>
      <c r="AC5" s="11"/>
    </row>
    <row r="6" spans="1:29" x14ac:dyDescent="0.25">
      <c r="A6" s="7" t="str">
        <f t="shared" si="1"/>
        <v>1D, square, phase</v>
      </c>
      <c r="B6" s="8">
        <f t="shared" si="1"/>
        <v>0.2</v>
      </c>
      <c r="C6" s="8">
        <f t="shared" si="1"/>
        <v>0.5</v>
      </c>
      <c r="D6" s="8">
        <f t="shared" si="1"/>
        <v>0.5000806581706726</v>
      </c>
      <c r="E6" s="8">
        <f t="shared" si="1"/>
        <v>0</v>
      </c>
      <c r="F6" s="8">
        <f t="shared" si="1"/>
        <v>-5.9523809523809521E-3</v>
      </c>
      <c r="G6" s="8">
        <f t="shared" si="1"/>
        <v>20.618556701030926</v>
      </c>
      <c r="H6" s="8">
        <f t="shared" si="1"/>
        <v>0.24796000000000001</v>
      </c>
      <c r="I6" s="8">
        <v>4500</v>
      </c>
      <c r="J6" s="8">
        <f t="shared" si="1"/>
        <v>0.28906275205678333</v>
      </c>
      <c r="K6" s="8">
        <f t="shared" si="1"/>
        <v>0</v>
      </c>
      <c r="L6" s="8">
        <f t="shared" si="1"/>
        <v>-5.6179775280898875E-3</v>
      </c>
      <c r="M6" s="8">
        <f t="shared" si="1"/>
        <v>20.618556701030926</v>
      </c>
      <c r="N6" s="8">
        <f t="shared" si="1"/>
        <v>0.17124309392265194</v>
      </c>
      <c r="O6" s="8">
        <v>295500</v>
      </c>
      <c r="P6" s="8">
        <f t="shared" si="1"/>
        <v>1</v>
      </c>
      <c r="Q6" s="8">
        <f t="shared" ref="Q6:Y6" si="3">+Q5</f>
        <v>2.9999999999999998E-14</v>
      </c>
      <c r="R6" s="8">
        <f t="shared" si="3"/>
        <v>0</v>
      </c>
      <c r="S6" s="8">
        <f t="shared" si="3"/>
        <v>10</v>
      </c>
      <c r="T6" s="8">
        <f t="shared" si="3"/>
        <v>2.67</v>
      </c>
      <c r="U6" s="8">
        <f t="shared" si="3"/>
        <v>20</v>
      </c>
      <c r="V6" s="8">
        <f t="shared" si="3"/>
        <v>25</v>
      </c>
      <c r="W6" s="8">
        <f t="shared" si="3"/>
        <v>40</v>
      </c>
      <c r="X6" s="8" t="str">
        <f t="shared" si="3"/>
        <v>N</v>
      </c>
      <c r="Y6" s="8" t="str">
        <f t="shared" si="3"/>
        <v>N</v>
      </c>
      <c r="Z6" s="11"/>
      <c r="AA6" s="11"/>
      <c r="AB6" s="11"/>
      <c r="AC6" s="11"/>
    </row>
    <row r="7" spans="1:29" x14ac:dyDescent="0.25">
      <c r="A7" s="7" t="str">
        <f t="shared" si="1"/>
        <v>1D, square, phase</v>
      </c>
      <c r="B7" s="8">
        <f t="shared" si="1"/>
        <v>0.2</v>
      </c>
      <c r="C7" s="8">
        <f t="shared" si="1"/>
        <v>0.5</v>
      </c>
      <c r="D7" s="8">
        <f t="shared" si="1"/>
        <v>0.5000806581706726</v>
      </c>
      <c r="E7" s="8">
        <f t="shared" si="1"/>
        <v>0</v>
      </c>
      <c r="F7" s="8">
        <f t="shared" si="1"/>
        <v>-5.9523809523809521E-3</v>
      </c>
      <c r="G7" s="8">
        <f t="shared" si="1"/>
        <v>20.618556701030926</v>
      </c>
      <c r="H7" s="8">
        <f t="shared" si="1"/>
        <v>0.24796000000000001</v>
      </c>
      <c r="I7" s="8">
        <v>6000</v>
      </c>
      <c r="J7" s="8">
        <f t="shared" si="1"/>
        <v>0.28906275205678333</v>
      </c>
      <c r="K7" s="8">
        <f t="shared" si="1"/>
        <v>0</v>
      </c>
      <c r="L7" s="8">
        <f t="shared" si="1"/>
        <v>-5.6179775280898875E-3</v>
      </c>
      <c r="M7" s="8">
        <f t="shared" si="1"/>
        <v>20.618556701030926</v>
      </c>
      <c r="N7" s="8">
        <f t="shared" si="1"/>
        <v>0.17124309392265194</v>
      </c>
      <c r="O7" s="8">
        <v>294000</v>
      </c>
      <c r="P7" s="8">
        <f t="shared" si="1"/>
        <v>1</v>
      </c>
      <c r="Q7" s="8">
        <f t="shared" ref="Q7:Y7" si="4">+Q6</f>
        <v>2.9999999999999998E-14</v>
      </c>
      <c r="R7" s="8">
        <f t="shared" si="4"/>
        <v>0</v>
      </c>
      <c r="S7" s="8">
        <f t="shared" si="4"/>
        <v>10</v>
      </c>
      <c r="T7" s="8">
        <f t="shared" si="4"/>
        <v>2.67</v>
      </c>
      <c r="U7" s="8">
        <f t="shared" si="4"/>
        <v>20</v>
      </c>
      <c r="V7" s="8">
        <f t="shared" si="4"/>
        <v>25</v>
      </c>
      <c r="W7" s="8">
        <f t="shared" si="4"/>
        <v>40</v>
      </c>
      <c r="X7" s="8" t="str">
        <f t="shared" si="4"/>
        <v>N</v>
      </c>
      <c r="Y7" s="8" t="str">
        <f t="shared" si="4"/>
        <v>N</v>
      </c>
      <c r="Z7" s="11"/>
      <c r="AA7" s="11"/>
      <c r="AB7" s="11"/>
      <c r="AC7" s="11"/>
    </row>
    <row r="8" spans="1:29" x14ac:dyDescent="0.25">
      <c r="A8" s="7" t="str">
        <f t="shared" si="1"/>
        <v>1D, square, phase</v>
      </c>
      <c r="B8" s="8">
        <f t="shared" si="1"/>
        <v>0.2</v>
      </c>
      <c r="C8" s="8">
        <f t="shared" si="1"/>
        <v>0.5</v>
      </c>
      <c r="D8" s="8">
        <f t="shared" si="1"/>
        <v>0.5000806581706726</v>
      </c>
      <c r="E8" s="8">
        <f t="shared" si="1"/>
        <v>0</v>
      </c>
      <c r="F8" s="8">
        <f t="shared" si="1"/>
        <v>-5.9523809523809521E-3</v>
      </c>
      <c r="G8" s="8">
        <f t="shared" si="1"/>
        <v>20.618556701030926</v>
      </c>
      <c r="H8" s="8">
        <f t="shared" si="1"/>
        <v>0.24796000000000001</v>
      </c>
      <c r="I8" s="8">
        <v>7500</v>
      </c>
      <c r="J8" s="8">
        <f t="shared" si="1"/>
        <v>0.28906275205678333</v>
      </c>
      <c r="K8" s="8">
        <f t="shared" si="1"/>
        <v>0</v>
      </c>
      <c r="L8" s="8">
        <f t="shared" si="1"/>
        <v>-5.6179775280898875E-3</v>
      </c>
      <c r="M8" s="8">
        <f t="shared" si="1"/>
        <v>20.618556701030926</v>
      </c>
      <c r="N8" s="8">
        <f t="shared" si="1"/>
        <v>0.17124309392265194</v>
      </c>
      <c r="O8" s="8">
        <v>292500</v>
      </c>
      <c r="P8" s="8">
        <f t="shared" si="1"/>
        <v>1</v>
      </c>
      <c r="Q8" s="8">
        <f t="shared" ref="Q8:Y8" si="5">+Q7</f>
        <v>2.9999999999999998E-14</v>
      </c>
      <c r="R8" s="8">
        <f t="shared" si="5"/>
        <v>0</v>
      </c>
      <c r="S8" s="8">
        <f t="shared" si="5"/>
        <v>10</v>
      </c>
      <c r="T8" s="8">
        <f t="shared" si="5"/>
        <v>2.67</v>
      </c>
      <c r="U8" s="8">
        <f t="shared" si="5"/>
        <v>20</v>
      </c>
      <c r="V8" s="8">
        <f t="shared" si="5"/>
        <v>25</v>
      </c>
      <c r="W8" s="8">
        <f t="shared" si="5"/>
        <v>40</v>
      </c>
      <c r="X8" s="8" t="str">
        <f t="shared" si="5"/>
        <v>N</v>
      </c>
      <c r="Y8" s="8" t="str">
        <f t="shared" si="5"/>
        <v>N</v>
      </c>
      <c r="Z8" s="11"/>
      <c r="AA8" s="11"/>
      <c r="AB8" s="11"/>
      <c r="AC8" s="11"/>
    </row>
    <row r="9" spans="1:29" x14ac:dyDescent="0.25">
      <c r="A9" s="7" t="str">
        <f t="shared" si="1"/>
        <v>1D, square, phase</v>
      </c>
      <c r="B9" s="8">
        <f t="shared" si="1"/>
        <v>0.2</v>
      </c>
      <c r="C9" s="8">
        <f t="shared" si="1"/>
        <v>0.5</v>
      </c>
      <c r="D9" s="8">
        <f t="shared" si="1"/>
        <v>0.5000806581706726</v>
      </c>
      <c r="E9" s="8">
        <f t="shared" si="1"/>
        <v>0</v>
      </c>
      <c r="F9" s="8">
        <f t="shared" si="1"/>
        <v>-5.9523809523809521E-3</v>
      </c>
      <c r="G9" s="8">
        <f t="shared" si="1"/>
        <v>20.618556701030926</v>
      </c>
      <c r="H9" s="8">
        <f t="shared" si="1"/>
        <v>0.24796000000000001</v>
      </c>
      <c r="I9" s="8">
        <v>9000</v>
      </c>
      <c r="J9" s="8">
        <f t="shared" si="1"/>
        <v>0.28906275205678333</v>
      </c>
      <c r="K9" s="8">
        <f t="shared" si="1"/>
        <v>0</v>
      </c>
      <c r="L9" s="8">
        <f t="shared" si="1"/>
        <v>-5.6179775280898875E-3</v>
      </c>
      <c r="M9" s="8">
        <f t="shared" si="1"/>
        <v>20.618556701030926</v>
      </c>
      <c r="N9" s="8">
        <f t="shared" si="1"/>
        <v>0.17124309392265194</v>
      </c>
      <c r="O9" s="8">
        <v>291000</v>
      </c>
      <c r="P9" s="8">
        <f t="shared" si="1"/>
        <v>1</v>
      </c>
      <c r="Q9" s="8">
        <f t="shared" ref="Q9:Y9" si="6">+Q8</f>
        <v>2.9999999999999998E-14</v>
      </c>
      <c r="R9" s="8">
        <f t="shared" si="6"/>
        <v>0</v>
      </c>
      <c r="S9" s="8">
        <f t="shared" si="6"/>
        <v>10</v>
      </c>
      <c r="T9" s="8">
        <f t="shared" si="6"/>
        <v>2.67</v>
      </c>
      <c r="U9" s="8">
        <f t="shared" si="6"/>
        <v>20</v>
      </c>
      <c r="V9" s="8">
        <f t="shared" si="6"/>
        <v>25</v>
      </c>
      <c r="W9" s="8">
        <f t="shared" si="6"/>
        <v>40</v>
      </c>
      <c r="X9" s="8" t="str">
        <f t="shared" si="6"/>
        <v>N</v>
      </c>
      <c r="Y9" s="8" t="str">
        <f t="shared" si="6"/>
        <v>N</v>
      </c>
      <c r="Z9" s="11"/>
      <c r="AA9" s="11"/>
      <c r="AB9" s="11"/>
      <c r="AC9" s="11"/>
    </row>
    <row r="10" spans="1:29" x14ac:dyDescent="0.25">
      <c r="A10" s="7" t="str">
        <f t="shared" si="1"/>
        <v>1D, square, phase</v>
      </c>
      <c r="B10" s="8">
        <f t="shared" si="1"/>
        <v>0.2</v>
      </c>
      <c r="C10" s="8">
        <f t="shared" si="1"/>
        <v>0.5</v>
      </c>
      <c r="D10" s="8">
        <f t="shared" si="1"/>
        <v>0.5000806581706726</v>
      </c>
      <c r="E10" s="8">
        <f t="shared" si="1"/>
        <v>0</v>
      </c>
      <c r="F10" s="8">
        <f t="shared" si="1"/>
        <v>-5.9523809523809521E-3</v>
      </c>
      <c r="G10" s="8">
        <f t="shared" si="1"/>
        <v>20.618556701030926</v>
      </c>
      <c r="H10" s="8">
        <f t="shared" si="1"/>
        <v>0.24796000000000001</v>
      </c>
      <c r="I10" s="8">
        <v>10500</v>
      </c>
      <c r="J10" s="8">
        <f t="shared" si="1"/>
        <v>0.28906275205678333</v>
      </c>
      <c r="K10" s="8">
        <f t="shared" si="1"/>
        <v>0</v>
      </c>
      <c r="L10" s="8">
        <f t="shared" si="1"/>
        <v>-5.6179775280898875E-3</v>
      </c>
      <c r="M10" s="8">
        <f t="shared" si="1"/>
        <v>20.618556701030926</v>
      </c>
      <c r="N10" s="8">
        <f t="shared" si="1"/>
        <v>0.17124309392265194</v>
      </c>
      <c r="O10" s="8">
        <v>289500</v>
      </c>
      <c r="P10" s="8">
        <f t="shared" si="1"/>
        <v>1</v>
      </c>
      <c r="Q10" s="8">
        <f t="shared" ref="Q10:Y10" si="7">+Q9</f>
        <v>2.9999999999999998E-14</v>
      </c>
      <c r="R10" s="8">
        <f t="shared" si="7"/>
        <v>0</v>
      </c>
      <c r="S10" s="8">
        <f t="shared" si="7"/>
        <v>10</v>
      </c>
      <c r="T10" s="8">
        <f t="shared" si="7"/>
        <v>2.67</v>
      </c>
      <c r="U10" s="8">
        <f t="shared" si="7"/>
        <v>20</v>
      </c>
      <c r="V10" s="8">
        <f t="shared" si="7"/>
        <v>25</v>
      </c>
      <c r="W10" s="8">
        <f t="shared" si="7"/>
        <v>40</v>
      </c>
      <c r="X10" s="8" t="str">
        <f t="shared" si="7"/>
        <v>N</v>
      </c>
      <c r="Y10" s="8" t="str">
        <f t="shared" si="7"/>
        <v>N</v>
      </c>
      <c r="Z10" s="11"/>
      <c r="AA10" s="11"/>
      <c r="AB10" s="11"/>
      <c r="AC10" s="11"/>
    </row>
    <row r="11" spans="1:29" x14ac:dyDescent="0.25">
      <c r="A11" s="7" t="str">
        <f t="shared" si="1"/>
        <v>1D, square, phase</v>
      </c>
      <c r="B11" s="8">
        <f t="shared" si="1"/>
        <v>0.2</v>
      </c>
      <c r="C11" s="8">
        <f t="shared" si="1"/>
        <v>0.5</v>
      </c>
      <c r="D11" s="8">
        <f t="shared" si="1"/>
        <v>0.5000806581706726</v>
      </c>
      <c r="E11" s="8">
        <f t="shared" si="1"/>
        <v>0</v>
      </c>
      <c r="F11" s="8">
        <f t="shared" si="1"/>
        <v>-5.9523809523809521E-3</v>
      </c>
      <c r="G11" s="8">
        <f t="shared" si="1"/>
        <v>20.618556701030926</v>
      </c>
      <c r="H11" s="8">
        <f t="shared" si="1"/>
        <v>0.24796000000000001</v>
      </c>
      <c r="I11" s="8">
        <v>12000</v>
      </c>
      <c r="J11" s="8">
        <f t="shared" si="1"/>
        <v>0.28906275205678333</v>
      </c>
      <c r="K11" s="8">
        <f t="shared" si="1"/>
        <v>0</v>
      </c>
      <c r="L11" s="8">
        <f t="shared" si="1"/>
        <v>-5.6179775280898875E-3</v>
      </c>
      <c r="M11" s="8">
        <f t="shared" si="1"/>
        <v>20.618556701030926</v>
      </c>
      <c r="N11" s="8">
        <f t="shared" si="1"/>
        <v>0.17124309392265194</v>
      </c>
      <c r="O11" s="8">
        <v>288000</v>
      </c>
      <c r="P11" s="8">
        <f t="shared" si="1"/>
        <v>1</v>
      </c>
      <c r="Q11" s="8">
        <f t="shared" ref="Q11:Y11" si="8">+Q10</f>
        <v>2.9999999999999998E-14</v>
      </c>
      <c r="R11" s="8">
        <f t="shared" si="8"/>
        <v>0</v>
      </c>
      <c r="S11" s="8">
        <f t="shared" si="8"/>
        <v>10</v>
      </c>
      <c r="T11" s="8">
        <f t="shared" si="8"/>
        <v>2.67</v>
      </c>
      <c r="U11" s="8">
        <f t="shared" si="8"/>
        <v>20</v>
      </c>
      <c r="V11" s="8">
        <f t="shared" si="8"/>
        <v>25</v>
      </c>
      <c r="W11" s="8">
        <f t="shared" si="8"/>
        <v>40</v>
      </c>
      <c r="X11" s="8" t="str">
        <f t="shared" si="8"/>
        <v>N</v>
      </c>
      <c r="Y11" s="8" t="str">
        <f t="shared" si="8"/>
        <v>N</v>
      </c>
      <c r="Z11" s="11"/>
      <c r="AA11" s="11"/>
      <c r="AB11" s="11"/>
      <c r="AC11" s="11"/>
    </row>
    <row r="12" spans="1:29" x14ac:dyDescent="0.25">
      <c r="A12" s="7" t="str">
        <f t="shared" si="1"/>
        <v>1D, square, phase</v>
      </c>
      <c r="B12" s="8">
        <f t="shared" si="1"/>
        <v>0.2</v>
      </c>
      <c r="C12" s="8">
        <f t="shared" si="1"/>
        <v>0.5</v>
      </c>
      <c r="D12" s="8">
        <f t="shared" si="1"/>
        <v>0.5000806581706726</v>
      </c>
      <c r="E12" s="8">
        <f t="shared" si="1"/>
        <v>0</v>
      </c>
      <c r="F12" s="8">
        <f t="shared" si="1"/>
        <v>-5.9523809523809521E-3</v>
      </c>
      <c r="G12" s="8">
        <f t="shared" si="1"/>
        <v>20.618556701030926</v>
      </c>
      <c r="H12" s="8">
        <f t="shared" si="1"/>
        <v>0.24796000000000001</v>
      </c>
      <c r="I12" s="8">
        <v>13500</v>
      </c>
      <c r="J12" s="8">
        <f t="shared" si="1"/>
        <v>0.28906275205678333</v>
      </c>
      <c r="K12" s="8">
        <f t="shared" si="1"/>
        <v>0</v>
      </c>
      <c r="L12" s="8">
        <f t="shared" si="1"/>
        <v>-5.6179775280898875E-3</v>
      </c>
      <c r="M12" s="8">
        <f t="shared" si="1"/>
        <v>20.618556701030926</v>
      </c>
      <c r="N12" s="8">
        <f t="shared" si="1"/>
        <v>0.17124309392265194</v>
      </c>
      <c r="O12" s="8">
        <v>286500</v>
      </c>
      <c r="P12" s="8">
        <f t="shared" si="1"/>
        <v>1</v>
      </c>
      <c r="Q12" s="8">
        <f t="shared" ref="Q12:Y12" si="9">+Q11</f>
        <v>2.9999999999999998E-14</v>
      </c>
      <c r="R12" s="8">
        <f t="shared" si="9"/>
        <v>0</v>
      </c>
      <c r="S12" s="8">
        <f t="shared" si="9"/>
        <v>10</v>
      </c>
      <c r="T12" s="8">
        <f t="shared" si="9"/>
        <v>2.67</v>
      </c>
      <c r="U12" s="8">
        <f t="shared" si="9"/>
        <v>20</v>
      </c>
      <c r="V12" s="8">
        <f t="shared" si="9"/>
        <v>25</v>
      </c>
      <c r="W12" s="8">
        <f t="shared" si="9"/>
        <v>40</v>
      </c>
      <c r="X12" s="8" t="str">
        <f t="shared" si="9"/>
        <v>N</v>
      </c>
      <c r="Y12" s="8" t="str">
        <f t="shared" si="9"/>
        <v>N</v>
      </c>
      <c r="Z12" s="11"/>
      <c r="AA12" s="11"/>
      <c r="AB12" s="11"/>
      <c r="AC12" s="11"/>
    </row>
    <row r="13" spans="1:29" x14ac:dyDescent="0.25">
      <c r="A13" s="7" t="str">
        <f t="shared" si="1"/>
        <v>1D, square, phase</v>
      </c>
      <c r="B13" s="8">
        <f t="shared" si="1"/>
        <v>0.2</v>
      </c>
      <c r="C13" s="8">
        <f t="shared" si="1"/>
        <v>0.5</v>
      </c>
      <c r="D13" s="8">
        <f t="shared" si="1"/>
        <v>0.5000806581706726</v>
      </c>
      <c r="E13" s="8">
        <f t="shared" si="1"/>
        <v>0</v>
      </c>
      <c r="F13" s="8">
        <f t="shared" si="1"/>
        <v>-5.9523809523809521E-3</v>
      </c>
      <c r="G13" s="8">
        <f t="shared" si="1"/>
        <v>20.618556701030926</v>
      </c>
      <c r="H13" s="8">
        <f t="shared" si="1"/>
        <v>0.24796000000000001</v>
      </c>
      <c r="I13" s="8">
        <v>15000</v>
      </c>
      <c r="J13" s="8">
        <f t="shared" si="1"/>
        <v>0.28906275205678333</v>
      </c>
      <c r="K13" s="8">
        <f t="shared" si="1"/>
        <v>0</v>
      </c>
      <c r="L13" s="8">
        <f t="shared" si="1"/>
        <v>-5.6179775280898875E-3</v>
      </c>
      <c r="M13" s="8">
        <f t="shared" si="1"/>
        <v>20.618556701030926</v>
      </c>
      <c r="N13" s="8">
        <f t="shared" si="1"/>
        <v>0.17124309392265194</v>
      </c>
      <c r="O13" s="8">
        <v>285000</v>
      </c>
      <c r="P13" s="8">
        <f t="shared" si="1"/>
        <v>1</v>
      </c>
      <c r="Q13" s="8">
        <f t="shared" ref="Q13:Y13" si="10">+Q12</f>
        <v>2.9999999999999998E-14</v>
      </c>
      <c r="R13" s="8">
        <f t="shared" si="10"/>
        <v>0</v>
      </c>
      <c r="S13" s="8">
        <f t="shared" si="10"/>
        <v>10</v>
      </c>
      <c r="T13" s="8">
        <f t="shared" si="10"/>
        <v>2.67</v>
      </c>
      <c r="U13" s="8">
        <f t="shared" si="10"/>
        <v>20</v>
      </c>
      <c r="V13" s="8">
        <f t="shared" si="10"/>
        <v>25</v>
      </c>
      <c r="W13" s="8">
        <f t="shared" si="10"/>
        <v>40</v>
      </c>
      <c r="X13" s="8" t="str">
        <f t="shared" si="10"/>
        <v>N</v>
      </c>
      <c r="Y13" s="8" t="str">
        <f t="shared" si="10"/>
        <v>N</v>
      </c>
      <c r="Z13" s="11"/>
      <c r="AA13" s="11"/>
      <c r="AB13" s="11"/>
      <c r="AC13" s="11"/>
    </row>
    <row r="14" spans="1:29" x14ac:dyDescent="0.25">
      <c r="A14" s="7" t="str">
        <f t="shared" ref="A14" si="11">+A13</f>
        <v>1D, square, phase</v>
      </c>
      <c r="B14" s="8">
        <f t="shared" ref="B14:Q29" si="12">+B13</f>
        <v>0.2</v>
      </c>
      <c r="C14" s="8">
        <f t="shared" si="12"/>
        <v>0.5</v>
      </c>
      <c r="D14" s="8">
        <f t="shared" si="12"/>
        <v>0.5000806581706726</v>
      </c>
      <c r="E14" s="8">
        <f t="shared" si="12"/>
        <v>0</v>
      </c>
      <c r="F14" s="8">
        <f t="shared" si="12"/>
        <v>-5.9523809523809521E-3</v>
      </c>
      <c r="G14" s="8">
        <f t="shared" si="12"/>
        <v>20.618556701030926</v>
      </c>
      <c r="H14" s="8">
        <f t="shared" si="12"/>
        <v>0.24796000000000001</v>
      </c>
      <c r="I14" s="8">
        <v>16500</v>
      </c>
      <c r="J14" s="8">
        <f t="shared" si="12"/>
        <v>0.28906275205678333</v>
      </c>
      <c r="K14" s="8">
        <f t="shared" si="12"/>
        <v>0</v>
      </c>
      <c r="L14" s="8">
        <f t="shared" si="12"/>
        <v>-5.6179775280898875E-3</v>
      </c>
      <c r="M14" s="8">
        <f t="shared" si="12"/>
        <v>20.618556701030926</v>
      </c>
      <c r="N14" s="8">
        <f t="shared" si="12"/>
        <v>0.17124309392265194</v>
      </c>
      <c r="O14" s="8">
        <v>283500</v>
      </c>
      <c r="P14" s="8">
        <f t="shared" si="12"/>
        <v>1</v>
      </c>
      <c r="Q14" s="8">
        <f t="shared" si="12"/>
        <v>2.9999999999999998E-14</v>
      </c>
      <c r="R14" s="8">
        <f t="shared" ref="R14:Y14" si="13">+R13</f>
        <v>0</v>
      </c>
      <c r="S14" s="8">
        <f t="shared" si="13"/>
        <v>10</v>
      </c>
      <c r="T14" s="8">
        <f t="shared" si="13"/>
        <v>2.67</v>
      </c>
      <c r="U14" s="8">
        <f t="shared" si="13"/>
        <v>20</v>
      </c>
      <c r="V14" s="8">
        <f t="shared" si="13"/>
        <v>25</v>
      </c>
      <c r="W14" s="8">
        <f t="shared" si="13"/>
        <v>40</v>
      </c>
      <c r="X14" s="8" t="str">
        <f t="shared" si="13"/>
        <v>N</v>
      </c>
      <c r="Y14" s="8" t="str">
        <f t="shared" si="13"/>
        <v>N</v>
      </c>
      <c r="Z14" s="11"/>
      <c r="AA14" s="11"/>
      <c r="AB14" s="11"/>
      <c r="AC14" s="11"/>
    </row>
    <row r="15" spans="1:29" x14ac:dyDescent="0.25">
      <c r="A15" s="7" t="str">
        <f t="shared" ref="A15" si="14">+A14</f>
        <v>1D, square, phase</v>
      </c>
      <c r="B15" s="8">
        <f t="shared" si="12"/>
        <v>0.2</v>
      </c>
      <c r="C15" s="8">
        <f t="shared" si="12"/>
        <v>0.5</v>
      </c>
      <c r="D15" s="8">
        <f t="shared" si="12"/>
        <v>0.5000806581706726</v>
      </c>
      <c r="E15" s="8">
        <f t="shared" si="12"/>
        <v>0</v>
      </c>
      <c r="F15" s="8">
        <f t="shared" si="12"/>
        <v>-5.9523809523809521E-3</v>
      </c>
      <c r="G15" s="8">
        <f t="shared" si="12"/>
        <v>20.618556701030926</v>
      </c>
      <c r="H15" s="8">
        <f t="shared" si="12"/>
        <v>0.24796000000000001</v>
      </c>
      <c r="I15" s="8">
        <v>18000</v>
      </c>
      <c r="J15" s="8">
        <f t="shared" si="12"/>
        <v>0.28906275205678333</v>
      </c>
      <c r="K15" s="8">
        <f t="shared" si="12"/>
        <v>0</v>
      </c>
      <c r="L15" s="8">
        <f t="shared" si="12"/>
        <v>-5.6179775280898875E-3</v>
      </c>
      <c r="M15" s="8">
        <f t="shared" si="12"/>
        <v>20.618556701030926</v>
      </c>
      <c r="N15" s="8">
        <f t="shared" si="12"/>
        <v>0.17124309392265194</v>
      </c>
      <c r="O15" s="8">
        <v>282000</v>
      </c>
      <c r="P15" s="8">
        <f t="shared" si="12"/>
        <v>1</v>
      </c>
      <c r="Q15" s="8">
        <f t="shared" si="12"/>
        <v>2.9999999999999998E-14</v>
      </c>
      <c r="R15" s="8">
        <f t="shared" ref="R15:Y15" si="15">+R14</f>
        <v>0</v>
      </c>
      <c r="S15" s="8">
        <f t="shared" si="15"/>
        <v>10</v>
      </c>
      <c r="T15" s="8">
        <f t="shared" si="15"/>
        <v>2.67</v>
      </c>
      <c r="U15" s="8">
        <f t="shared" si="15"/>
        <v>20</v>
      </c>
      <c r="V15" s="8">
        <f t="shared" si="15"/>
        <v>25</v>
      </c>
      <c r="W15" s="8">
        <f t="shared" si="15"/>
        <v>40</v>
      </c>
      <c r="X15" s="8" t="str">
        <f t="shared" si="15"/>
        <v>N</v>
      </c>
      <c r="Y15" s="8" t="str">
        <f t="shared" si="15"/>
        <v>N</v>
      </c>
      <c r="Z15" s="11"/>
      <c r="AA15" s="11"/>
      <c r="AB15" s="11"/>
      <c r="AC15" s="11"/>
    </row>
    <row r="16" spans="1:29" x14ac:dyDescent="0.25">
      <c r="A16" s="7" t="str">
        <f t="shared" ref="A16" si="16">+A15</f>
        <v>1D, square, phase</v>
      </c>
      <c r="B16" s="8">
        <f t="shared" si="12"/>
        <v>0.2</v>
      </c>
      <c r="C16" s="8">
        <f t="shared" si="12"/>
        <v>0.5</v>
      </c>
      <c r="D16" s="8">
        <f t="shared" si="12"/>
        <v>0.5000806581706726</v>
      </c>
      <c r="E16" s="8">
        <f t="shared" si="12"/>
        <v>0</v>
      </c>
      <c r="F16" s="8">
        <f t="shared" si="12"/>
        <v>-5.9523809523809521E-3</v>
      </c>
      <c r="G16" s="8">
        <f t="shared" si="12"/>
        <v>20.618556701030926</v>
      </c>
      <c r="H16" s="8">
        <f t="shared" si="12"/>
        <v>0.24796000000000001</v>
      </c>
      <c r="I16" s="8">
        <v>19500</v>
      </c>
      <c r="J16" s="8">
        <f t="shared" si="12"/>
        <v>0.28906275205678333</v>
      </c>
      <c r="K16" s="8">
        <f t="shared" si="12"/>
        <v>0</v>
      </c>
      <c r="L16" s="8">
        <f t="shared" si="12"/>
        <v>-5.6179775280898875E-3</v>
      </c>
      <c r="M16" s="8">
        <f t="shared" si="12"/>
        <v>20.618556701030926</v>
      </c>
      <c r="N16" s="8">
        <f t="shared" si="12"/>
        <v>0.17124309392265194</v>
      </c>
      <c r="O16" s="8">
        <v>280500</v>
      </c>
      <c r="P16" s="8">
        <f t="shared" si="12"/>
        <v>1</v>
      </c>
      <c r="Q16" s="8">
        <f t="shared" si="12"/>
        <v>2.9999999999999998E-14</v>
      </c>
      <c r="R16" s="8">
        <f t="shared" ref="R16:Y16" si="17">+R15</f>
        <v>0</v>
      </c>
      <c r="S16" s="8">
        <f t="shared" si="17"/>
        <v>10</v>
      </c>
      <c r="T16" s="8">
        <f t="shared" si="17"/>
        <v>2.67</v>
      </c>
      <c r="U16" s="8">
        <f t="shared" si="17"/>
        <v>20</v>
      </c>
      <c r="V16" s="8">
        <f t="shared" si="17"/>
        <v>25</v>
      </c>
      <c r="W16" s="8">
        <f t="shared" si="17"/>
        <v>40</v>
      </c>
      <c r="X16" s="8" t="str">
        <f t="shared" si="17"/>
        <v>N</v>
      </c>
      <c r="Y16" s="8" t="str">
        <f t="shared" si="17"/>
        <v>N</v>
      </c>
      <c r="Z16" s="11"/>
      <c r="AA16" s="11"/>
      <c r="AB16" s="11"/>
      <c r="AC16" s="11"/>
    </row>
    <row r="17" spans="1:29" x14ac:dyDescent="0.25">
      <c r="A17" s="7" t="str">
        <f t="shared" ref="A17" si="18">+A16</f>
        <v>1D, square, phase</v>
      </c>
      <c r="B17" s="8">
        <f t="shared" si="12"/>
        <v>0.2</v>
      </c>
      <c r="C17" s="8">
        <f t="shared" si="12"/>
        <v>0.5</v>
      </c>
      <c r="D17" s="8">
        <f t="shared" si="12"/>
        <v>0.5000806581706726</v>
      </c>
      <c r="E17" s="8">
        <f t="shared" si="12"/>
        <v>0</v>
      </c>
      <c r="F17" s="8">
        <f t="shared" si="12"/>
        <v>-5.9523809523809521E-3</v>
      </c>
      <c r="G17" s="8">
        <f t="shared" si="12"/>
        <v>20.618556701030926</v>
      </c>
      <c r="H17" s="8">
        <f t="shared" si="12"/>
        <v>0.24796000000000001</v>
      </c>
      <c r="I17" s="8">
        <v>21000</v>
      </c>
      <c r="J17" s="8">
        <f t="shared" si="12"/>
        <v>0.28906275205678333</v>
      </c>
      <c r="K17" s="8">
        <f t="shared" si="12"/>
        <v>0</v>
      </c>
      <c r="L17" s="8">
        <f t="shared" si="12"/>
        <v>-5.6179775280898875E-3</v>
      </c>
      <c r="M17" s="8">
        <f t="shared" si="12"/>
        <v>20.618556701030926</v>
      </c>
      <c r="N17" s="8">
        <f t="shared" si="12"/>
        <v>0.17124309392265194</v>
      </c>
      <c r="O17" s="8">
        <v>279000</v>
      </c>
      <c r="P17" s="8">
        <f t="shared" si="12"/>
        <v>1</v>
      </c>
      <c r="Q17" s="8">
        <f t="shared" si="12"/>
        <v>2.9999999999999998E-14</v>
      </c>
      <c r="R17" s="8">
        <f t="shared" ref="R17:Y17" si="19">+R16</f>
        <v>0</v>
      </c>
      <c r="S17" s="8">
        <f t="shared" si="19"/>
        <v>10</v>
      </c>
      <c r="T17" s="8">
        <f t="shared" si="19"/>
        <v>2.67</v>
      </c>
      <c r="U17" s="8">
        <f t="shared" si="19"/>
        <v>20</v>
      </c>
      <c r="V17" s="8">
        <f t="shared" si="19"/>
        <v>25</v>
      </c>
      <c r="W17" s="8">
        <f t="shared" si="19"/>
        <v>40</v>
      </c>
      <c r="X17" s="8" t="str">
        <f t="shared" si="19"/>
        <v>N</v>
      </c>
      <c r="Y17" s="8" t="str">
        <f t="shared" si="19"/>
        <v>N</v>
      </c>
      <c r="Z17" s="11"/>
      <c r="AA17" s="11"/>
      <c r="AB17" s="11"/>
      <c r="AC17" s="11"/>
    </row>
    <row r="18" spans="1:29" x14ac:dyDescent="0.25">
      <c r="A18" s="7" t="str">
        <f t="shared" ref="A18" si="20">+A17</f>
        <v>1D, square, phase</v>
      </c>
      <c r="B18" s="8">
        <f t="shared" si="12"/>
        <v>0.2</v>
      </c>
      <c r="C18" s="8">
        <f t="shared" si="12"/>
        <v>0.5</v>
      </c>
      <c r="D18" s="8">
        <f t="shared" si="12"/>
        <v>0.5000806581706726</v>
      </c>
      <c r="E18" s="8">
        <f t="shared" si="12"/>
        <v>0</v>
      </c>
      <c r="F18" s="8">
        <f t="shared" si="12"/>
        <v>-5.9523809523809521E-3</v>
      </c>
      <c r="G18" s="8">
        <f t="shared" si="12"/>
        <v>20.618556701030926</v>
      </c>
      <c r="H18" s="8">
        <f t="shared" si="12"/>
        <v>0.24796000000000001</v>
      </c>
      <c r="I18" s="8">
        <v>22500</v>
      </c>
      <c r="J18" s="8">
        <f t="shared" si="12"/>
        <v>0.28906275205678333</v>
      </c>
      <c r="K18" s="8">
        <f t="shared" si="12"/>
        <v>0</v>
      </c>
      <c r="L18" s="8">
        <f t="shared" si="12"/>
        <v>-5.6179775280898875E-3</v>
      </c>
      <c r="M18" s="8">
        <f t="shared" si="12"/>
        <v>20.618556701030926</v>
      </c>
      <c r="N18" s="8">
        <f t="shared" si="12"/>
        <v>0.17124309392265194</v>
      </c>
      <c r="O18" s="8">
        <v>277500</v>
      </c>
      <c r="P18" s="8">
        <f t="shared" si="12"/>
        <v>1</v>
      </c>
      <c r="Q18" s="8">
        <f t="shared" si="12"/>
        <v>2.9999999999999998E-14</v>
      </c>
      <c r="R18" s="8">
        <f t="shared" ref="R18:Y18" si="21">+R17</f>
        <v>0</v>
      </c>
      <c r="S18" s="8">
        <f t="shared" si="21"/>
        <v>10</v>
      </c>
      <c r="T18" s="8">
        <f t="shared" si="21"/>
        <v>2.67</v>
      </c>
      <c r="U18" s="8">
        <f t="shared" si="21"/>
        <v>20</v>
      </c>
      <c r="V18" s="8">
        <f t="shared" si="21"/>
        <v>25</v>
      </c>
      <c r="W18" s="8">
        <f t="shared" si="21"/>
        <v>40</v>
      </c>
      <c r="X18" s="8" t="str">
        <f t="shared" si="21"/>
        <v>N</v>
      </c>
      <c r="Y18" s="8" t="str">
        <f t="shared" si="21"/>
        <v>N</v>
      </c>
      <c r="Z18" s="11"/>
      <c r="AA18" s="11"/>
      <c r="AB18" s="11"/>
      <c r="AC18" s="11"/>
    </row>
    <row r="19" spans="1:29" x14ac:dyDescent="0.25">
      <c r="A19" s="7" t="str">
        <f t="shared" ref="A19" si="22">+A18</f>
        <v>1D, square, phase</v>
      </c>
      <c r="B19" s="8">
        <f t="shared" si="12"/>
        <v>0.2</v>
      </c>
      <c r="C19" s="8">
        <f t="shared" si="12"/>
        <v>0.5</v>
      </c>
      <c r="D19" s="8">
        <f t="shared" si="12"/>
        <v>0.5000806581706726</v>
      </c>
      <c r="E19" s="8">
        <f t="shared" si="12"/>
        <v>0</v>
      </c>
      <c r="F19" s="8">
        <f t="shared" si="12"/>
        <v>-5.9523809523809521E-3</v>
      </c>
      <c r="G19" s="8">
        <f t="shared" si="12"/>
        <v>20.618556701030926</v>
      </c>
      <c r="H19" s="8">
        <f t="shared" si="12"/>
        <v>0.24796000000000001</v>
      </c>
      <c r="I19" s="8">
        <v>24000</v>
      </c>
      <c r="J19" s="8">
        <f t="shared" si="12"/>
        <v>0.28906275205678333</v>
      </c>
      <c r="K19" s="8">
        <f t="shared" si="12"/>
        <v>0</v>
      </c>
      <c r="L19" s="8">
        <f t="shared" si="12"/>
        <v>-5.6179775280898875E-3</v>
      </c>
      <c r="M19" s="8">
        <f t="shared" si="12"/>
        <v>20.618556701030926</v>
      </c>
      <c r="N19" s="8">
        <f t="shared" si="12"/>
        <v>0.17124309392265194</v>
      </c>
      <c r="O19" s="8">
        <v>276000</v>
      </c>
      <c r="P19" s="8">
        <f t="shared" si="12"/>
        <v>1</v>
      </c>
      <c r="Q19" s="8">
        <f t="shared" si="12"/>
        <v>2.9999999999999998E-14</v>
      </c>
      <c r="R19" s="8">
        <f t="shared" ref="R19:Y19" si="23">+R18</f>
        <v>0</v>
      </c>
      <c r="S19" s="8">
        <f t="shared" si="23"/>
        <v>10</v>
      </c>
      <c r="T19" s="8">
        <f t="shared" si="23"/>
        <v>2.67</v>
      </c>
      <c r="U19" s="8">
        <f t="shared" si="23"/>
        <v>20</v>
      </c>
      <c r="V19" s="8">
        <f t="shared" si="23"/>
        <v>25</v>
      </c>
      <c r="W19" s="8">
        <f t="shared" si="23"/>
        <v>40</v>
      </c>
      <c r="X19" s="8" t="str">
        <f t="shared" si="23"/>
        <v>N</v>
      </c>
      <c r="Y19" s="8" t="str">
        <f t="shared" si="23"/>
        <v>N</v>
      </c>
      <c r="Z19" s="11"/>
      <c r="AA19" s="11"/>
      <c r="AB19" s="11"/>
      <c r="AC19" s="11"/>
    </row>
    <row r="20" spans="1:29" x14ac:dyDescent="0.25">
      <c r="A20" s="7" t="str">
        <f t="shared" ref="A20" si="24">+A19</f>
        <v>1D, square, phase</v>
      </c>
      <c r="B20" s="8">
        <f t="shared" si="12"/>
        <v>0.2</v>
      </c>
      <c r="C20" s="8">
        <f t="shared" si="12"/>
        <v>0.5</v>
      </c>
      <c r="D20" s="8">
        <f t="shared" si="12"/>
        <v>0.5000806581706726</v>
      </c>
      <c r="E20" s="8">
        <f t="shared" si="12"/>
        <v>0</v>
      </c>
      <c r="F20" s="8">
        <f t="shared" si="12"/>
        <v>-5.9523809523809521E-3</v>
      </c>
      <c r="G20" s="8">
        <f t="shared" si="12"/>
        <v>20.618556701030926</v>
      </c>
      <c r="H20" s="8">
        <f t="shared" si="12"/>
        <v>0.24796000000000001</v>
      </c>
      <c r="I20" s="8">
        <v>25500</v>
      </c>
      <c r="J20" s="8">
        <f t="shared" si="12"/>
        <v>0.28906275205678333</v>
      </c>
      <c r="K20" s="8">
        <f t="shared" si="12"/>
        <v>0</v>
      </c>
      <c r="L20" s="8">
        <f t="shared" si="12"/>
        <v>-5.6179775280898875E-3</v>
      </c>
      <c r="M20" s="8">
        <f t="shared" si="12"/>
        <v>20.618556701030926</v>
      </c>
      <c r="N20" s="8">
        <f t="shared" si="12"/>
        <v>0.17124309392265194</v>
      </c>
      <c r="O20" s="8">
        <v>274500</v>
      </c>
      <c r="P20" s="8">
        <f t="shared" si="12"/>
        <v>1</v>
      </c>
      <c r="Q20" s="8">
        <f t="shared" si="12"/>
        <v>2.9999999999999998E-14</v>
      </c>
      <c r="R20" s="8">
        <f t="shared" ref="R20:Y20" si="25">+R19</f>
        <v>0</v>
      </c>
      <c r="S20" s="8">
        <f t="shared" si="25"/>
        <v>10</v>
      </c>
      <c r="T20" s="8">
        <f t="shared" si="25"/>
        <v>2.67</v>
      </c>
      <c r="U20" s="8">
        <f t="shared" si="25"/>
        <v>20</v>
      </c>
      <c r="V20" s="8">
        <f t="shared" si="25"/>
        <v>25</v>
      </c>
      <c r="W20" s="8">
        <f t="shared" si="25"/>
        <v>40</v>
      </c>
      <c r="X20" s="8" t="str">
        <f t="shared" si="25"/>
        <v>N</v>
      </c>
      <c r="Y20" s="8" t="str">
        <f t="shared" si="25"/>
        <v>N</v>
      </c>
      <c r="Z20" s="11"/>
      <c r="AA20" s="11"/>
      <c r="AB20" s="11"/>
      <c r="AC20" s="11"/>
    </row>
    <row r="21" spans="1:29" x14ac:dyDescent="0.25">
      <c r="A21" s="7" t="str">
        <f t="shared" ref="A21" si="26">+A20</f>
        <v>1D, square, phase</v>
      </c>
      <c r="B21" s="8">
        <f t="shared" si="12"/>
        <v>0.2</v>
      </c>
      <c r="C21" s="8">
        <f t="shared" si="12"/>
        <v>0.5</v>
      </c>
      <c r="D21" s="8">
        <f t="shared" si="12"/>
        <v>0.5000806581706726</v>
      </c>
      <c r="E21" s="8">
        <f t="shared" si="12"/>
        <v>0</v>
      </c>
      <c r="F21" s="8">
        <f t="shared" si="12"/>
        <v>-5.9523809523809521E-3</v>
      </c>
      <c r="G21" s="8">
        <f t="shared" si="12"/>
        <v>20.618556701030926</v>
      </c>
      <c r="H21" s="8">
        <f t="shared" si="12"/>
        <v>0.24796000000000001</v>
      </c>
      <c r="I21" s="8">
        <v>27000</v>
      </c>
      <c r="J21" s="8">
        <f t="shared" si="12"/>
        <v>0.28906275205678333</v>
      </c>
      <c r="K21" s="8">
        <f t="shared" si="12"/>
        <v>0</v>
      </c>
      <c r="L21" s="8">
        <f t="shared" si="12"/>
        <v>-5.6179775280898875E-3</v>
      </c>
      <c r="M21" s="8">
        <f t="shared" si="12"/>
        <v>20.618556701030926</v>
      </c>
      <c r="N21" s="8">
        <f t="shared" si="12"/>
        <v>0.17124309392265194</v>
      </c>
      <c r="O21" s="8">
        <v>273000</v>
      </c>
      <c r="P21" s="8">
        <f t="shared" si="12"/>
        <v>1</v>
      </c>
      <c r="Q21" s="8">
        <f t="shared" si="12"/>
        <v>2.9999999999999998E-14</v>
      </c>
      <c r="R21" s="8">
        <f t="shared" ref="R21:Y21" si="27">+R20</f>
        <v>0</v>
      </c>
      <c r="S21" s="8">
        <f t="shared" si="27"/>
        <v>10</v>
      </c>
      <c r="T21" s="8">
        <f t="shared" si="27"/>
        <v>2.67</v>
      </c>
      <c r="U21" s="8">
        <f t="shared" si="27"/>
        <v>20</v>
      </c>
      <c r="V21" s="8">
        <f t="shared" si="27"/>
        <v>25</v>
      </c>
      <c r="W21" s="8">
        <f t="shared" si="27"/>
        <v>40</v>
      </c>
      <c r="X21" s="8" t="str">
        <f t="shared" si="27"/>
        <v>N</v>
      </c>
      <c r="Y21" s="8" t="str">
        <f t="shared" si="27"/>
        <v>N</v>
      </c>
      <c r="Z21" s="11"/>
      <c r="AA21" s="11"/>
      <c r="AB21" s="11"/>
      <c r="AC21" s="11"/>
    </row>
    <row r="22" spans="1:29" x14ac:dyDescent="0.25">
      <c r="A22" s="7" t="str">
        <f t="shared" ref="A22" si="28">+A21</f>
        <v>1D, square, phase</v>
      </c>
      <c r="B22" s="8">
        <f t="shared" si="12"/>
        <v>0.2</v>
      </c>
      <c r="C22" s="8">
        <f t="shared" si="12"/>
        <v>0.5</v>
      </c>
      <c r="D22" s="8">
        <f t="shared" si="12"/>
        <v>0.5000806581706726</v>
      </c>
      <c r="E22" s="8">
        <f t="shared" si="12"/>
        <v>0</v>
      </c>
      <c r="F22" s="8">
        <f t="shared" si="12"/>
        <v>-5.9523809523809521E-3</v>
      </c>
      <c r="G22" s="8">
        <f t="shared" si="12"/>
        <v>20.618556701030926</v>
      </c>
      <c r="H22" s="8">
        <f t="shared" si="12"/>
        <v>0.24796000000000001</v>
      </c>
      <c r="I22" s="8">
        <v>28500</v>
      </c>
      <c r="J22" s="8">
        <f t="shared" si="12"/>
        <v>0.28906275205678333</v>
      </c>
      <c r="K22" s="8">
        <f t="shared" si="12"/>
        <v>0</v>
      </c>
      <c r="L22" s="8">
        <f t="shared" si="12"/>
        <v>-5.6179775280898875E-3</v>
      </c>
      <c r="M22" s="8">
        <f t="shared" si="12"/>
        <v>20.618556701030926</v>
      </c>
      <c r="N22" s="8">
        <f t="shared" si="12"/>
        <v>0.17124309392265194</v>
      </c>
      <c r="O22" s="8">
        <v>271500</v>
      </c>
      <c r="P22" s="8">
        <f t="shared" si="12"/>
        <v>1</v>
      </c>
      <c r="Q22" s="8">
        <f t="shared" si="12"/>
        <v>2.9999999999999998E-14</v>
      </c>
      <c r="R22" s="8">
        <f t="shared" ref="R22:Y22" si="29">+R21</f>
        <v>0</v>
      </c>
      <c r="S22" s="8">
        <f t="shared" si="29"/>
        <v>10</v>
      </c>
      <c r="T22" s="8">
        <f t="shared" si="29"/>
        <v>2.67</v>
      </c>
      <c r="U22" s="8">
        <f t="shared" si="29"/>
        <v>20</v>
      </c>
      <c r="V22" s="8">
        <f t="shared" si="29"/>
        <v>25</v>
      </c>
      <c r="W22" s="8">
        <f t="shared" si="29"/>
        <v>40</v>
      </c>
      <c r="X22" s="8" t="str">
        <f t="shared" si="29"/>
        <v>N</v>
      </c>
      <c r="Y22" s="8" t="str">
        <f t="shared" si="29"/>
        <v>N</v>
      </c>
      <c r="Z22" s="11"/>
      <c r="AA22" s="11"/>
      <c r="AB22" s="11"/>
      <c r="AC22" s="11"/>
    </row>
    <row r="23" spans="1:29" x14ac:dyDescent="0.25">
      <c r="A23" s="7" t="str">
        <f t="shared" ref="A23" si="30">+A22</f>
        <v>1D, square, phase</v>
      </c>
      <c r="B23" s="8">
        <f t="shared" si="12"/>
        <v>0.2</v>
      </c>
      <c r="C23" s="8">
        <f t="shared" si="12"/>
        <v>0.5</v>
      </c>
      <c r="D23" s="8">
        <f t="shared" si="12"/>
        <v>0.5000806581706726</v>
      </c>
      <c r="E23" s="8">
        <f t="shared" si="12"/>
        <v>0</v>
      </c>
      <c r="F23" s="8">
        <f t="shared" si="12"/>
        <v>-5.9523809523809521E-3</v>
      </c>
      <c r="G23" s="8">
        <f t="shared" si="12"/>
        <v>20.618556701030926</v>
      </c>
      <c r="H23" s="8">
        <f t="shared" si="12"/>
        <v>0.24796000000000001</v>
      </c>
      <c r="I23" s="8">
        <v>30000</v>
      </c>
      <c r="J23" s="8">
        <f t="shared" si="12"/>
        <v>0.28906275205678333</v>
      </c>
      <c r="K23" s="8">
        <f t="shared" si="12"/>
        <v>0</v>
      </c>
      <c r="L23" s="8">
        <f t="shared" si="12"/>
        <v>-5.6179775280898875E-3</v>
      </c>
      <c r="M23" s="8">
        <f t="shared" si="12"/>
        <v>20.618556701030926</v>
      </c>
      <c r="N23" s="8">
        <f t="shared" si="12"/>
        <v>0.17124309392265194</v>
      </c>
      <c r="O23" s="8">
        <v>270000</v>
      </c>
      <c r="P23" s="8">
        <f t="shared" si="12"/>
        <v>1</v>
      </c>
      <c r="Q23" s="8">
        <f t="shared" si="12"/>
        <v>2.9999999999999998E-14</v>
      </c>
      <c r="R23" s="8">
        <f t="shared" ref="R23:Y23" si="31">+R22</f>
        <v>0</v>
      </c>
      <c r="S23" s="8">
        <f t="shared" si="31"/>
        <v>10</v>
      </c>
      <c r="T23" s="8">
        <f t="shared" si="31"/>
        <v>2.67</v>
      </c>
      <c r="U23" s="8">
        <f t="shared" si="31"/>
        <v>20</v>
      </c>
      <c r="V23" s="8">
        <f t="shared" si="31"/>
        <v>25</v>
      </c>
      <c r="W23" s="8">
        <f t="shared" si="31"/>
        <v>40</v>
      </c>
      <c r="X23" s="8" t="str">
        <f t="shared" si="31"/>
        <v>N</v>
      </c>
      <c r="Y23" s="8" t="str">
        <f t="shared" si="31"/>
        <v>N</v>
      </c>
      <c r="Z23" s="11"/>
      <c r="AA23" s="11"/>
      <c r="AB23" s="11"/>
      <c r="AC23" s="11"/>
    </row>
    <row r="24" spans="1:29" x14ac:dyDescent="0.25">
      <c r="A24" s="7" t="str">
        <f t="shared" ref="A24" si="32">+A23</f>
        <v>1D, square, phase</v>
      </c>
      <c r="B24" s="8">
        <f t="shared" si="12"/>
        <v>0.2</v>
      </c>
      <c r="C24" s="8">
        <f t="shared" si="12"/>
        <v>0.5</v>
      </c>
      <c r="D24" s="8">
        <f t="shared" si="12"/>
        <v>0.5000806581706726</v>
      </c>
      <c r="E24" s="8">
        <f t="shared" si="12"/>
        <v>0</v>
      </c>
      <c r="F24" s="8">
        <f t="shared" si="12"/>
        <v>-5.9523809523809521E-3</v>
      </c>
      <c r="G24" s="8">
        <f t="shared" si="12"/>
        <v>20.618556701030926</v>
      </c>
      <c r="H24" s="8">
        <f t="shared" si="12"/>
        <v>0.24796000000000001</v>
      </c>
      <c r="I24" s="8">
        <v>31500</v>
      </c>
      <c r="J24" s="8">
        <f t="shared" si="12"/>
        <v>0.28906275205678333</v>
      </c>
      <c r="K24" s="8">
        <f t="shared" si="12"/>
        <v>0</v>
      </c>
      <c r="L24" s="8">
        <f t="shared" si="12"/>
        <v>-5.6179775280898875E-3</v>
      </c>
      <c r="M24" s="8">
        <f t="shared" si="12"/>
        <v>20.618556701030926</v>
      </c>
      <c r="N24" s="8">
        <f t="shared" si="12"/>
        <v>0.17124309392265194</v>
      </c>
      <c r="O24" s="8">
        <v>268500</v>
      </c>
      <c r="P24" s="8">
        <f t="shared" si="12"/>
        <v>1</v>
      </c>
      <c r="Q24" s="8">
        <f t="shared" si="12"/>
        <v>2.9999999999999998E-14</v>
      </c>
      <c r="R24" s="8">
        <f t="shared" ref="R24:Y24" si="33">+R23</f>
        <v>0</v>
      </c>
      <c r="S24" s="8">
        <f t="shared" si="33"/>
        <v>10</v>
      </c>
      <c r="T24" s="8">
        <f t="shared" si="33"/>
        <v>2.67</v>
      </c>
      <c r="U24" s="8">
        <f t="shared" si="33"/>
        <v>20</v>
      </c>
      <c r="V24" s="8">
        <f t="shared" si="33"/>
        <v>25</v>
      </c>
      <c r="W24" s="8">
        <f t="shared" si="33"/>
        <v>40</v>
      </c>
      <c r="X24" s="8" t="str">
        <f t="shared" si="33"/>
        <v>N</v>
      </c>
      <c r="Y24" s="8" t="str">
        <f t="shared" si="33"/>
        <v>N</v>
      </c>
      <c r="Z24" s="11"/>
      <c r="AA24" s="11"/>
      <c r="AB24" s="11"/>
      <c r="AC24" s="11"/>
    </row>
    <row r="25" spans="1:29" x14ac:dyDescent="0.25">
      <c r="A25" s="7" t="str">
        <f t="shared" ref="A25" si="34">+A24</f>
        <v>1D, square, phase</v>
      </c>
      <c r="B25" s="8">
        <f t="shared" si="12"/>
        <v>0.2</v>
      </c>
      <c r="C25" s="8">
        <f t="shared" si="12"/>
        <v>0.5</v>
      </c>
      <c r="D25" s="8">
        <f t="shared" si="12"/>
        <v>0.5000806581706726</v>
      </c>
      <c r="E25" s="8">
        <f t="shared" si="12"/>
        <v>0</v>
      </c>
      <c r="F25" s="8">
        <f t="shared" si="12"/>
        <v>-5.9523809523809521E-3</v>
      </c>
      <c r="G25" s="8">
        <f t="shared" si="12"/>
        <v>20.618556701030926</v>
      </c>
      <c r="H25" s="8">
        <f t="shared" si="12"/>
        <v>0.24796000000000001</v>
      </c>
      <c r="I25" s="8">
        <v>33000</v>
      </c>
      <c r="J25" s="8">
        <f t="shared" si="12"/>
        <v>0.28906275205678333</v>
      </c>
      <c r="K25" s="8">
        <f t="shared" si="12"/>
        <v>0</v>
      </c>
      <c r="L25" s="8">
        <f t="shared" si="12"/>
        <v>-5.6179775280898875E-3</v>
      </c>
      <c r="M25" s="8">
        <f t="shared" si="12"/>
        <v>20.618556701030926</v>
      </c>
      <c r="N25" s="8">
        <f t="shared" si="12"/>
        <v>0.17124309392265194</v>
      </c>
      <c r="O25" s="8">
        <v>267000</v>
      </c>
      <c r="P25" s="8">
        <f t="shared" si="12"/>
        <v>1</v>
      </c>
      <c r="Q25" s="8">
        <f t="shared" si="12"/>
        <v>2.9999999999999998E-14</v>
      </c>
      <c r="R25" s="8">
        <f t="shared" ref="R25:Y25" si="35">+R24</f>
        <v>0</v>
      </c>
      <c r="S25" s="8">
        <f t="shared" si="35"/>
        <v>10</v>
      </c>
      <c r="T25" s="8">
        <f t="shared" si="35"/>
        <v>2.67</v>
      </c>
      <c r="U25" s="8">
        <f t="shared" si="35"/>
        <v>20</v>
      </c>
      <c r="V25" s="8">
        <f t="shared" si="35"/>
        <v>25</v>
      </c>
      <c r="W25" s="8">
        <f t="shared" si="35"/>
        <v>40</v>
      </c>
      <c r="X25" s="8" t="str">
        <f t="shared" si="35"/>
        <v>N</v>
      </c>
      <c r="Y25" s="8" t="str">
        <f t="shared" si="35"/>
        <v>N</v>
      </c>
      <c r="Z25" s="11"/>
      <c r="AA25" s="11"/>
      <c r="AB25" s="11"/>
      <c r="AC25" s="11"/>
    </row>
    <row r="26" spans="1:29" x14ac:dyDescent="0.25">
      <c r="A26" s="7" t="str">
        <f t="shared" ref="A26" si="36">+A25</f>
        <v>1D, square, phase</v>
      </c>
      <c r="B26" s="8">
        <f t="shared" si="12"/>
        <v>0.2</v>
      </c>
      <c r="C26" s="8">
        <f t="shared" si="12"/>
        <v>0.5</v>
      </c>
      <c r="D26" s="8">
        <f t="shared" si="12"/>
        <v>0.5000806581706726</v>
      </c>
      <c r="E26" s="8">
        <f t="shared" si="12"/>
        <v>0</v>
      </c>
      <c r="F26" s="8">
        <f t="shared" si="12"/>
        <v>-5.9523809523809521E-3</v>
      </c>
      <c r="G26" s="8">
        <f t="shared" si="12"/>
        <v>20.618556701030926</v>
      </c>
      <c r="H26" s="8">
        <f t="shared" si="12"/>
        <v>0.24796000000000001</v>
      </c>
      <c r="I26" s="8">
        <v>34500</v>
      </c>
      <c r="J26" s="8">
        <f t="shared" si="12"/>
        <v>0.28906275205678333</v>
      </c>
      <c r="K26" s="8">
        <f t="shared" si="12"/>
        <v>0</v>
      </c>
      <c r="L26" s="8">
        <f t="shared" si="12"/>
        <v>-5.6179775280898875E-3</v>
      </c>
      <c r="M26" s="8">
        <f t="shared" si="12"/>
        <v>20.618556701030926</v>
      </c>
      <c r="N26" s="8">
        <f t="shared" si="12"/>
        <v>0.17124309392265194</v>
      </c>
      <c r="O26" s="8">
        <v>265500</v>
      </c>
      <c r="P26" s="8">
        <f t="shared" si="12"/>
        <v>1</v>
      </c>
      <c r="Q26" s="8">
        <f t="shared" si="12"/>
        <v>2.9999999999999998E-14</v>
      </c>
      <c r="R26" s="8">
        <f t="shared" ref="R26:Y26" si="37">+R25</f>
        <v>0</v>
      </c>
      <c r="S26" s="8">
        <f t="shared" si="37"/>
        <v>10</v>
      </c>
      <c r="T26" s="8">
        <f t="shared" si="37"/>
        <v>2.67</v>
      </c>
      <c r="U26" s="8">
        <f t="shared" si="37"/>
        <v>20</v>
      </c>
      <c r="V26" s="8">
        <f t="shared" si="37"/>
        <v>25</v>
      </c>
      <c r="W26" s="8">
        <f t="shared" si="37"/>
        <v>40</v>
      </c>
      <c r="X26" s="8" t="str">
        <f t="shared" si="37"/>
        <v>N</v>
      </c>
      <c r="Y26" s="8" t="str">
        <f t="shared" si="37"/>
        <v>N</v>
      </c>
      <c r="Z26" s="11"/>
      <c r="AA26" s="11"/>
      <c r="AB26" s="11"/>
      <c r="AC26" s="11"/>
    </row>
    <row r="27" spans="1:29" x14ac:dyDescent="0.25">
      <c r="A27" s="7" t="str">
        <f t="shared" ref="A27" si="38">+A26</f>
        <v>1D, square, phase</v>
      </c>
      <c r="B27" s="8">
        <f t="shared" si="12"/>
        <v>0.2</v>
      </c>
      <c r="C27" s="8">
        <f t="shared" si="12"/>
        <v>0.5</v>
      </c>
      <c r="D27" s="8">
        <f t="shared" si="12"/>
        <v>0.5000806581706726</v>
      </c>
      <c r="E27" s="8">
        <f t="shared" si="12"/>
        <v>0</v>
      </c>
      <c r="F27" s="8">
        <f t="shared" si="12"/>
        <v>-5.9523809523809521E-3</v>
      </c>
      <c r="G27" s="8">
        <f t="shared" si="12"/>
        <v>20.618556701030926</v>
      </c>
      <c r="H27" s="8">
        <f t="shared" si="12"/>
        <v>0.24796000000000001</v>
      </c>
      <c r="I27" s="8">
        <v>36000</v>
      </c>
      <c r="J27" s="8">
        <f t="shared" si="12"/>
        <v>0.28906275205678333</v>
      </c>
      <c r="K27" s="8">
        <f t="shared" si="12"/>
        <v>0</v>
      </c>
      <c r="L27" s="8">
        <f t="shared" si="12"/>
        <v>-5.6179775280898875E-3</v>
      </c>
      <c r="M27" s="8">
        <f t="shared" si="12"/>
        <v>20.618556701030926</v>
      </c>
      <c r="N27" s="8">
        <f t="shared" si="12"/>
        <v>0.17124309392265194</v>
      </c>
      <c r="O27" s="8">
        <v>264000</v>
      </c>
      <c r="P27" s="8">
        <f t="shared" si="12"/>
        <v>1</v>
      </c>
      <c r="Q27" s="8">
        <f t="shared" si="12"/>
        <v>2.9999999999999998E-14</v>
      </c>
      <c r="R27" s="8">
        <f t="shared" ref="R27:Y27" si="39">+R26</f>
        <v>0</v>
      </c>
      <c r="S27" s="8">
        <f t="shared" si="39"/>
        <v>10</v>
      </c>
      <c r="T27" s="8">
        <f t="shared" si="39"/>
        <v>2.67</v>
      </c>
      <c r="U27" s="8">
        <f t="shared" si="39"/>
        <v>20</v>
      </c>
      <c r="V27" s="8">
        <f t="shared" si="39"/>
        <v>25</v>
      </c>
      <c r="W27" s="8">
        <f t="shared" si="39"/>
        <v>40</v>
      </c>
      <c r="X27" s="8" t="str">
        <f t="shared" si="39"/>
        <v>N</v>
      </c>
      <c r="Y27" s="8" t="str">
        <f t="shared" si="39"/>
        <v>N</v>
      </c>
      <c r="Z27" s="11"/>
      <c r="AA27" s="11"/>
      <c r="AB27" s="11"/>
      <c r="AC27" s="11"/>
    </row>
    <row r="28" spans="1:29" x14ac:dyDescent="0.25">
      <c r="A28" s="7" t="str">
        <f t="shared" ref="A28" si="40">+A27</f>
        <v>1D, square, phase</v>
      </c>
      <c r="B28" s="8">
        <f t="shared" si="12"/>
        <v>0.2</v>
      </c>
      <c r="C28" s="8">
        <f t="shared" si="12"/>
        <v>0.5</v>
      </c>
      <c r="D28" s="8">
        <f t="shared" si="12"/>
        <v>0.5000806581706726</v>
      </c>
      <c r="E28" s="8">
        <f t="shared" si="12"/>
        <v>0</v>
      </c>
      <c r="F28" s="8">
        <f t="shared" si="12"/>
        <v>-5.9523809523809521E-3</v>
      </c>
      <c r="G28" s="8">
        <f t="shared" si="12"/>
        <v>20.618556701030926</v>
      </c>
      <c r="H28" s="8">
        <f t="shared" si="12"/>
        <v>0.24796000000000001</v>
      </c>
      <c r="I28" s="8">
        <v>37500</v>
      </c>
      <c r="J28" s="8">
        <f t="shared" si="12"/>
        <v>0.28906275205678333</v>
      </c>
      <c r="K28" s="8">
        <f t="shared" si="12"/>
        <v>0</v>
      </c>
      <c r="L28" s="8">
        <f t="shared" si="12"/>
        <v>-5.6179775280898875E-3</v>
      </c>
      <c r="M28" s="8">
        <f t="shared" si="12"/>
        <v>20.618556701030926</v>
      </c>
      <c r="N28" s="8">
        <f t="shared" si="12"/>
        <v>0.17124309392265194</v>
      </c>
      <c r="O28" s="8">
        <v>262500</v>
      </c>
      <c r="P28" s="8">
        <f t="shared" si="12"/>
        <v>1</v>
      </c>
      <c r="Q28" s="8">
        <f t="shared" si="12"/>
        <v>2.9999999999999998E-14</v>
      </c>
      <c r="R28" s="8">
        <f t="shared" ref="R28:Y28" si="41">+R27</f>
        <v>0</v>
      </c>
      <c r="S28" s="8">
        <f t="shared" si="41"/>
        <v>10</v>
      </c>
      <c r="T28" s="8">
        <f t="shared" si="41"/>
        <v>2.67</v>
      </c>
      <c r="U28" s="8">
        <f t="shared" si="41"/>
        <v>20</v>
      </c>
      <c r="V28" s="8">
        <f t="shared" si="41"/>
        <v>25</v>
      </c>
      <c r="W28" s="8">
        <f t="shared" si="41"/>
        <v>40</v>
      </c>
      <c r="X28" s="8" t="str">
        <f t="shared" si="41"/>
        <v>N</v>
      </c>
      <c r="Y28" s="8" t="str">
        <f t="shared" si="41"/>
        <v>N</v>
      </c>
      <c r="Z28" s="11"/>
      <c r="AA28" s="11"/>
      <c r="AB28" s="11"/>
      <c r="AC28" s="11"/>
    </row>
    <row r="29" spans="1:29" x14ac:dyDescent="0.25">
      <c r="A29" s="7" t="str">
        <f t="shared" ref="A29" si="42">+A28</f>
        <v>1D, square, phase</v>
      </c>
      <c r="B29" s="8">
        <f t="shared" si="12"/>
        <v>0.2</v>
      </c>
      <c r="C29" s="8">
        <f t="shared" si="12"/>
        <v>0.5</v>
      </c>
      <c r="D29" s="8">
        <f t="shared" si="12"/>
        <v>0.5000806581706726</v>
      </c>
      <c r="E29" s="8">
        <f t="shared" si="12"/>
        <v>0</v>
      </c>
      <c r="F29" s="8">
        <f t="shared" si="12"/>
        <v>-5.9523809523809521E-3</v>
      </c>
      <c r="G29" s="8">
        <f t="shared" si="12"/>
        <v>20.618556701030926</v>
      </c>
      <c r="H29" s="8">
        <f t="shared" si="12"/>
        <v>0.24796000000000001</v>
      </c>
      <c r="I29" s="8">
        <v>39000</v>
      </c>
      <c r="J29" s="8">
        <f t="shared" si="12"/>
        <v>0.28906275205678333</v>
      </c>
      <c r="K29" s="8">
        <f t="shared" si="12"/>
        <v>0</v>
      </c>
      <c r="L29" s="8">
        <f t="shared" si="12"/>
        <v>-5.6179775280898875E-3</v>
      </c>
      <c r="M29" s="8">
        <f t="shared" si="12"/>
        <v>20.618556701030926</v>
      </c>
      <c r="N29" s="8">
        <f t="shared" si="12"/>
        <v>0.17124309392265194</v>
      </c>
      <c r="O29" s="8">
        <v>261000</v>
      </c>
      <c r="P29" s="8">
        <f t="shared" si="12"/>
        <v>1</v>
      </c>
      <c r="Q29" s="8">
        <f t="shared" ref="Q29:Y29" si="43">+Q28</f>
        <v>2.9999999999999998E-14</v>
      </c>
      <c r="R29" s="8">
        <f t="shared" si="43"/>
        <v>0</v>
      </c>
      <c r="S29" s="8">
        <f t="shared" si="43"/>
        <v>10</v>
      </c>
      <c r="T29" s="8">
        <f t="shared" si="43"/>
        <v>2.67</v>
      </c>
      <c r="U29" s="8">
        <f t="shared" si="43"/>
        <v>20</v>
      </c>
      <c r="V29" s="8">
        <f t="shared" si="43"/>
        <v>25</v>
      </c>
      <c r="W29" s="8">
        <f t="shared" si="43"/>
        <v>40</v>
      </c>
      <c r="X29" s="8" t="str">
        <f t="shared" si="43"/>
        <v>N</v>
      </c>
      <c r="Y29" s="8" t="str">
        <f t="shared" si="43"/>
        <v>N</v>
      </c>
      <c r="Z29" s="11"/>
      <c r="AA29" s="11"/>
      <c r="AB29" s="11"/>
      <c r="AC29" s="11"/>
    </row>
    <row r="30" spans="1:29" x14ac:dyDescent="0.25">
      <c r="A30" s="7" t="str">
        <f t="shared" ref="A30" si="44">+A29</f>
        <v>1D, square, phase</v>
      </c>
      <c r="B30" s="8">
        <f t="shared" ref="B30:Q45" si="45">+B29</f>
        <v>0.2</v>
      </c>
      <c r="C30" s="8">
        <f t="shared" si="45"/>
        <v>0.5</v>
      </c>
      <c r="D30" s="8">
        <f t="shared" si="45"/>
        <v>0.5000806581706726</v>
      </c>
      <c r="E30" s="8">
        <f t="shared" si="45"/>
        <v>0</v>
      </c>
      <c r="F30" s="8">
        <f t="shared" si="45"/>
        <v>-5.9523809523809521E-3</v>
      </c>
      <c r="G30" s="8">
        <f t="shared" si="45"/>
        <v>20.618556701030926</v>
      </c>
      <c r="H30" s="8">
        <f t="shared" si="45"/>
        <v>0.24796000000000001</v>
      </c>
      <c r="I30" s="8">
        <v>40500</v>
      </c>
      <c r="J30" s="8">
        <f t="shared" si="45"/>
        <v>0.28906275205678333</v>
      </c>
      <c r="K30" s="8">
        <f t="shared" si="45"/>
        <v>0</v>
      </c>
      <c r="L30" s="8">
        <f t="shared" si="45"/>
        <v>-5.6179775280898875E-3</v>
      </c>
      <c r="M30" s="8">
        <f t="shared" si="45"/>
        <v>20.618556701030926</v>
      </c>
      <c r="N30" s="8">
        <f t="shared" si="45"/>
        <v>0.17124309392265194</v>
      </c>
      <c r="O30" s="8">
        <v>259500</v>
      </c>
      <c r="P30" s="8">
        <f t="shared" si="45"/>
        <v>1</v>
      </c>
      <c r="Q30" s="8">
        <f t="shared" si="45"/>
        <v>2.9999999999999998E-14</v>
      </c>
      <c r="R30" s="8">
        <f t="shared" ref="R30:Y30" si="46">+R29</f>
        <v>0</v>
      </c>
      <c r="S30" s="8">
        <f t="shared" si="46"/>
        <v>10</v>
      </c>
      <c r="T30" s="8">
        <f t="shared" si="46"/>
        <v>2.67</v>
      </c>
      <c r="U30" s="8">
        <f t="shared" si="46"/>
        <v>20</v>
      </c>
      <c r="V30" s="8">
        <f t="shared" si="46"/>
        <v>25</v>
      </c>
      <c r="W30" s="8">
        <f t="shared" si="46"/>
        <v>40</v>
      </c>
      <c r="X30" s="8" t="str">
        <f t="shared" si="46"/>
        <v>N</v>
      </c>
      <c r="Y30" s="8" t="str">
        <f t="shared" si="46"/>
        <v>N</v>
      </c>
      <c r="Z30" s="11"/>
      <c r="AA30" s="11"/>
      <c r="AB30" s="11"/>
      <c r="AC30" s="11"/>
    </row>
    <row r="31" spans="1:29" x14ac:dyDescent="0.25">
      <c r="A31" s="7" t="str">
        <f t="shared" ref="A31" si="47">+A30</f>
        <v>1D, square, phase</v>
      </c>
      <c r="B31" s="8">
        <f t="shared" si="45"/>
        <v>0.2</v>
      </c>
      <c r="C31" s="8">
        <f t="shared" si="45"/>
        <v>0.5</v>
      </c>
      <c r="D31" s="8">
        <f t="shared" si="45"/>
        <v>0.5000806581706726</v>
      </c>
      <c r="E31" s="8">
        <f t="shared" si="45"/>
        <v>0</v>
      </c>
      <c r="F31" s="8">
        <f t="shared" si="45"/>
        <v>-5.9523809523809521E-3</v>
      </c>
      <c r="G31" s="8">
        <f t="shared" si="45"/>
        <v>20.618556701030926</v>
      </c>
      <c r="H31" s="8">
        <f t="shared" si="45"/>
        <v>0.24796000000000001</v>
      </c>
      <c r="I31" s="8">
        <v>42000</v>
      </c>
      <c r="J31" s="8">
        <f t="shared" si="45"/>
        <v>0.28906275205678333</v>
      </c>
      <c r="K31" s="8">
        <f t="shared" si="45"/>
        <v>0</v>
      </c>
      <c r="L31" s="8">
        <f t="shared" si="45"/>
        <v>-5.6179775280898875E-3</v>
      </c>
      <c r="M31" s="8">
        <f t="shared" si="45"/>
        <v>20.618556701030926</v>
      </c>
      <c r="N31" s="8">
        <f t="shared" si="45"/>
        <v>0.17124309392265194</v>
      </c>
      <c r="O31" s="8">
        <v>258000</v>
      </c>
      <c r="P31" s="8">
        <f t="shared" si="45"/>
        <v>1</v>
      </c>
      <c r="Q31" s="8">
        <f t="shared" si="45"/>
        <v>2.9999999999999998E-14</v>
      </c>
      <c r="R31" s="8">
        <f t="shared" ref="R31:Y31" si="48">+R30</f>
        <v>0</v>
      </c>
      <c r="S31" s="8">
        <f t="shared" si="48"/>
        <v>10</v>
      </c>
      <c r="T31" s="8">
        <f t="shared" si="48"/>
        <v>2.67</v>
      </c>
      <c r="U31" s="8">
        <f t="shared" si="48"/>
        <v>20</v>
      </c>
      <c r="V31" s="8">
        <f t="shared" si="48"/>
        <v>25</v>
      </c>
      <c r="W31" s="8">
        <f t="shared" si="48"/>
        <v>40</v>
      </c>
      <c r="X31" s="8" t="str">
        <f t="shared" si="48"/>
        <v>N</v>
      </c>
      <c r="Y31" s="8" t="str">
        <f t="shared" si="48"/>
        <v>N</v>
      </c>
      <c r="Z31" s="11"/>
      <c r="AA31" s="11"/>
      <c r="AB31" s="11"/>
      <c r="AC31" s="11"/>
    </row>
    <row r="32" spans="1:29" x14ac:dyDescent="0.25">
      <c r="A32" s="7" t="str">
        <f t="shared" ref="A32" si="49">+A31</f>
        <v>1D, square, phase</v>
      </c>
      <c r="B32" s="8">
        <f t="shared" si="45"/>
        <v>0.2</v>
      </c>
      <c r="C32" s="8">
        <f t="shared" si="45"/>
        <v>0.5</v>
      </c>
      <c r="D32" s="8">
        <f t="shared" si="45"/>
        <v>0.5000806581706726</v>
      </c>
      <c r="E32" s="8">
        <f t="shared" si="45"/>
        <v>0</v>
      </c>
      <c r="F32" s="8">
        <f t="shared" si="45"/>
        <v>-5.9523809523809521E-3</v>
      </c>
      <c r="G32" s="8">
        <f t="shared" si="45"/>
        <v>20.618556701030926</v>
      </c>
      <c r="H32" s="8">
        <f t="shared" si="45"/>
        <v>0.24796000000000001</v>
      </c>
      <c r="I32" s="8">
        <v>43500</v>
      </c>
      <c r="J32" s="8">
        <f t="shared" si="45"/>
        <v>0.28906275205678333</v>
      </c>
      <c r="K32" s="8">
        <f t="shared" si="45"/>
        <v>0</v>
      </c>
      <c r="L32" s="8">
        <f t="shared" si="45"/>
        <v>-5.6179775280898875E-3</v>
      </c>
      <c r="M32" s="8">
        <f t="shared" si="45"/>
        <v>20.618556701030926</v>
      </c>
      <c r="N32" s="8">
        <f t="shared" si="45"/>
        <v>0.17124309392265194</v>
      </c>
      <c r="O32" s="8">
        <v>256500</v>
      </c>
      <c r="P32" s="8">
        <f t="shared" si="45"/>
        <v>1</v>
      </c>
      <c r="Q32" s="8">
        <f t="shared" si="45"/>
        <v>2.9999999999999998E-14</v>
      </c>
      <c r="R32" s="8">
        <f t="shared" ref="R32:Y32" si="50">+R31</f>
        <v>0</v>
      </c>
      <c r="S32" s="8">
        <f t="shared" si="50"/>
        <v>10</v>
      </c>
      <c r="T32" s="8">
        <f t="shared" si="50"/>
        <v>2.67</v>
      </c>
      <c r="U32" s="8">
        <f t="shared" si="50"/>
        <v>20</v>
      </c>
      <c r="V32" s="8">
        <f t="shared" si="50"/>
        <v>25</v>
      </c>
      <c r="W32" s="8">
        <f t="shared" si="50"/>
        <v>40</v>
      </c>
      <c r="X32" s="8" t="str">
        <f t="shared" si="50"/>
        <v>N</v>
      </c>
      <c r="Y32" s="8" t="str">
        <f t="shared" si="50"/>
        <v>N</v>
      </c>
      <c r="Z32" s="11"/>
      <c r="AA32" s="11"/>
      <c r="AB32" s="11"/>
      <c r="AC32" s="11"/>
    </row>
    <row r="33" spans="1:29" x14ac:dyDescent="0.25">
      <c r="A33" s="7" t="str">
        <f t="shared" ref="A33" si="51">+A32</f>
        <v>1D, square, phase</v>
      </c>
      <c r="B33" s="8">
        <f t="shared" si="45"/>
        <v>0.2</v>
      </c>
      <c r="C33" s="8">
        <f t="shared" si="45"/>
        <v>0.5</v>
      </c>
      <c r="D33" s="8">
        <f t="shared" si="45"/>
        <v>0.5000806581706726</v>
      </c>
      <c r="E33" s="8">
        <f t="shared" si="45"/>
        <v>0</v>
      </c>
      <c r="F33" s="8">
        <f t="shared" si="45"/>
        <v>-5.9523809523809521E-3</v>
      </c>
      <c r="G33" s="8">
        <f t="shared" si="45"/>
        <v>20.618556701030926</v>
      </c>
      <c r="H33" s="8">
        <f t="shared" si="45"/>
        <v>0.24796000000000001</v>
      </c>
      <c r="I33" s="8">
        <v>45000</v>
      </c>
      <c r="J33" s="8">
        <f t="shared" si="45"/>
        <v>0.28906275205678333</v>
      </c>
      <c r="K33" s="8">
        <f t="shared" si="45"/>
        <v>0</v>
      </c>
      <c r="L33" s="8">
        <f t="shared" si="45"/>
        <v>-5.6179775280898875E-3</v>
      </c>
      <c r="M33" s="8">
        <f t="shared" si="45"/>
        <v>20.618556701030926</v>
      </c>
      <c r="N33" s="8">
        <f t="shared" si="45"/>
        <v>0.17124309392265194</v>
      </c>
      <c r="O33" s="8">
        <v>255000</v>
      </c>
      <c r="P33" s="8">
        <f t="shared" si="45"/>
        <v>1</v>
      </c>
      <c r="Q33" s="8">
        <f t="shared" si="45"/>
        <v>2.9999999999999998E-14</v>
      </c>
      <c r="R33" s="8">
        <f t="shared" ref="R33:Y33" si="52">+R32</f>
        <v>0</v>
      </c>
      <c r="S33" s="8">
        <f t="shared" si="52"/>
        <v>10</v>
      </c>
      <c r="T33" s="8">
        <f t="shared" si="52"/>
        <v>2.67</v>
      </c>
      <c r="U33" s="8">
        <f t="shared" si="52"/>
        <v>20</v>
      </c>
      <c r="V33" s="8">
        <f t="shared" si="52"/>
        <v>25</v>
      </c>
      <c r="W33" s="8">
        <f t="shared" si="52"/>
        <v>40</v>
      </c>
      <c r="X33" s="8" t="str">
        <f t="shared" si="52"/>
        <v>N</v>
      </c>
      <c r="Y33" s="8" t="str">
        <f t="shared" si="52"/>
        <v>N</v>
      </c>
      <c r="Z33" s="11"/>
      <c r="AA33" s="11"/>
      <c r="AB33" s="11"/>
      <c r="AC33" s="11"/>
    </row>
    <row r="34" spans="1:29" x14ac:dyDescent="0.25">
      <c r="A34" s="7" t="str">
        <f t="shared" ref="A34" si="53">+A33</f>
        <v>1D, square, phase</v>
      </c>
      <c r="B34" s="8">
        <f t="shared" si="45"/>
        <v>0.2</v>
      </c>
      <c r="C34" s="8">
        <f t="shared" si="45"/>
        <v>0.5</v>
      </c>
      <c r="D34" s="8">
        <f t="shared" si="45"/>
        <v>0.5000806581706726</v>
      </c>
      <c r="E34" s="8">
        <f t="shared" si="45"/>
        <v>0</v>
      </c>
      <c r="F34" s="8">
        <f t="shared" si="45"/>
        <v>-5.9523809523809521E-3</v>
      </c>
      <c r="G34" s="8">
        <f t="shared" si="45"/>
        <v>20.618556701030926</v>
      </c>
      <c r="H34" s="8">
        <f t="shared" si="45"/>
        <v>0.24796000000000001</v>
      </c>
      <c r="I34" s="8">
        <v>46500</v>
      </c>
      <c r="J34" s="8">
        <f t="shared" si="45"/>
        <v>0.28906275205678333</v>
      </c>
      <c r="K34" s="8">
        <f t="shared" si="45"/>
        <v>0</v>
      </c>
      <c r="L34" s="8">
        <f t="shared" si="45"/>
        <v>-5.6179775280898875E-3</v>
      </c>
      <c r="M34" s="8">
        <f t="shared" si="45"/>
        <v>20.618556701030926</v>
      </c>
      <c r="N34" s="8">
        <f t="shared" si="45"/>
        <v>0.17124309392265194</v>
      </c>
      <c r="O34" s="8">
        <v>253500</v>
      </c>
      <c r="P34" s="8">
        <f t="shared" si="45"/>
        <v>1</v>
      </c>
      <c r="Q34" s="8">
        <f t="shared" si="45"/>
        <v>2.9999999999999998E-14</v>
      </c>
      <c r="R34" s="8">
        <f t="shared" ref="R34:Y34" si="54">+R33</f>
        <v>0</v>
      </c>
      <c r="S34" s="8">
        <f t="shared" si="54"/>
        <v>10</v>
      </c>
      <c r="T34" s="8">
        <f t="shared" si="54"/>
        <v>2.67</v>
      </c>
      <c r="U34" s="8">
        <f t="shared" si="54"/>
        <v>20</v>
      </c>
      <c r="V34" s="8">
        <f t="shared" si="54"/>
        <v>25</v>
      </c>
      <c r="W34" s="8">
        <f t="shared" si="54"/>
        <v>40</v>
      </c>
      <c r="X34" s="8" t="str">
        <f t="shared" si="54"/>
        <v>N</v>
      </c>
      <c r="Y34" s="8" t="str">
        <f t="shared" si="54"/>
        <v>N</v>
      </c>
      <c r="Z34" s="11"/>
      <c r="AA34" s="11"/>
      <c r="AB34" s="11"/>
      <c r="AC34" s="11"/>
    </row>
    <row r="35" spans="1:29" x14ac:dyDescent="0.25">
      <c r="A35" s="7" t="str">
        <f t="shared" ref="A35" si="55">+A34</f>
        <v>1D, square, phase</v>
      </c>
      <c r="B35" s="8">
        <f t="shared" si="45"/>
        <v>0.2</v>
      </c>
      <c r="C35" s="8">
        <f t="shared" si="45"/>
        <v>0.5</v>
      </c>
      <c r="D35" s="8">
        <f t="shared" si="45"/>
        <v>0.5000806581706726</v>
      </c>
      <c r="E35" s="8">
        <f t="shared" si="45"/>
        <v>0</v>
      </c>
      <c r="F35" s="8">
        <f t="shared" si="45"/>
        <v>-5.9523809523809521E-3</v>
      </c>
      <c r="G35" s="8">
        <f t="shared" si="45"/>
        <v>20.618556701030926</v>
      </c>
      <c r="H35" s="8">
        <f t="shared" si="45"/>
        <v>0.24796000000000001</v>
      </c>
      <c r="I35" s="8">
        <v>48000</v>
      </c>
      <c r="J35" s="8">
        <f t="shared" si="45"/>
        <v>0.28906275205678333</v>
      </c>
      <c r="K35" s="8">
        <f t="shared" si="45"/>
        <v>0</v>
      </c>
      <c r="L35" s="8">
        <f t="shared" si="45"/>
        <v>-5.6179775280898875E-3</v>
      </c>
      <c r="M35" s="8">
        <f t="shared" si="45"/>
        <v>20.618556701030926</v>
      </c>
      <c r="N35" s="8">
        <f t="shared" si="45"/>
        <v>0.17124309392265194</v>
      </c>
      <c r="O35" s="8">
        <v>252000</v>
      </c>
      <c r="P35" s="8">
        <f t="shared" si="45"/>
        <v>1</v>
      </c>
      <c r="Q35" s="8">
        <f t="shared" si="45"/>
        <v>2.9999999999999998E-14</v>
      </c>
      <c r="R35" s="8">
        <f t="shared" ref="R35:Y35" si="56">+R34</f>
        <v>0</v>
      </c>
      <c r="S35" s="8">
        <f t="shared" si="56"/>
        <v>10</v>
      </c>
      <c r="T35" s="8">
        <f t="shared" si="56"/>
        <v>2.67</v>
      </c>
      <c r="U35" s="8">
        <f t="shared" si="56"/>
        <v>20</v>
      </c>
      <c r="V35" s="8">
        <f t="shared" si="56"/>
        <v>25</v>
      </c>
      <c r="W35" s="8">
        <f t="shared" si="56"/>
        <v>40</v>
      </c>
      <c r="X35" s="8" t="str">
        <f t="shared" si="56"/>
        <v>N</v>
      </c>
      <c r="Y35" s="8" t="str">
        <f t="shared" si="56"/>
        <v>N</v>
      </c>
      <c r="Z35" s="11"/>
      <c r="AA35" s="11"/>
      <c r="AB35" s="11"/>
      <c r="AC35" s="11"/>
    </row>
    <row r="36" spans="1:29" x14ac:dyDescent="0.25">
      <c r="A36" s="7" t="str">
        <f t="shared" ref="A36" si="57">+A35</f>
        <v>1D, square, phase</v>
      </c>
      <c r="B36" s="8">
        <f t="shared" si="45"/>
        <v>0.2</v>
      </c>
      <c r="C36" s="8">
        <f t="shared" si="45"/>
        <v>0.5</v>
      </c>
      <c r="D36" s="8">
        <f t="shared" si="45"/>
        <v>0.5000806581706726</v>
      </c>
      <c r="E36" s="8">
        <f t="shared" si="45"/>
        <v>0</v>
      </c>
      <c r="F36" s="8">
        <f t="shared" si="45"/>
        <v>-5.9523809523809521E-3</v>
      </c>
      <c r="G36" s="8">
        <f t="shared" si="45"/>
        <v>20.618556701030926</v>
      </c>
      <c r="H36" s="8">
        <f t="shared" si="45"/>
        <v>0.24796000000000001</v>
      </c>
      <c r="I36" s="8">
        <v>49500</v>
      </c>
      <c r="J36" s="8">
        <f t="shared" si="45"/>
        <v>0.28906275205678333</v>
      </c>
      <c r="K36" s="8">
        <f t="shared" si="45"/>
        <v>0</v>
      </c>
      <c r="L36" s="8">
        <f t="shared" si="45"/>
        <v>-5.6179775280898875E-3</v>
      </c>
      <c r="M36" s="8">
        <f t="shared" si="45"/>
        <v>20.618556701030926</v>
      </c>
      <c r="N36" s="8">
        <f t="shared" si="45"/>
        <v>0.17124309392265194</v>
      </c>
      <c r="O36" s="8">
        <v>250500</v>
      </c>
      <c r="P36" s="8">
        <f t="shared" si="45"/>
        <v>1</v>
      </c>
      <c r="Q36" s="8">
        <f t="shared" si="45"/>
        <v>2.9999999999999998E-14</v>
      </c>
      <c r="R36" s="8">
        <f t="shared" ref="R36:Y36" si="58">+R35</f>
        <v>0</v>
      </c>
      <c r="S36" s="8">
        <f t="shared" si="58"/>
        <v>10</v>
      </c>
      <c r="T36" s="8">
        <f t="shared" si="58"/>
        <v>2.67</v>
      </c>
      <c r="U36" s="8">
        <f t="shared" si="58"/>
        <v>20</v>
      </c>
      <c r="V36" s="8">
        <f t="shared" si="58"/>
        <v>25</v>
      </c>
      <c r="W36" s="8">
        <f t="shared" si="58"/>
        <v>40</v>
      </c>
      <c r="X36" s="8" t="str">
        <f t="shared" si="58"/>
        <v>N</v>
      </c>
      <c r="Y36" s="8" t="str">
        <f t="shared" si="58"/>
        <v>N</v>
      </c>
      <c r="Z36" s="11"/>
      <c r="AA36" s="11"/>
      <c r="AB36" s="11"/>
      <c r="AC36" s="11"/>
    </row>
    <row r="37" spans="1:29" x14ac:dyDescent="0.25">
      <c r="A37" s="7" t="str">
        <f t="shared" ref="A37" si="59">+A36</f>
        <v>1D, square, phase</v>
      </c>
      <c r="B37" s="8">
        <f t="shared" si="45"/>
        <v>0.2</v>
      </c>
      <c r="C37" s="8">
        <f t="shared" si="45"/>
        <v>0.5</v>
      </c>
      <c r="D37" s="8">
        <f t="shared" si="45"/>
        <v>0.5000806581706726</v>
      </c>
      <c r="E37" s="8">
        <f t="shared" si="45"/>
        <v>0</v>
      </c>
      <c r="F37" s="8">
        <f t="shared" si="45"/>
        <v>-5.9523809523809521E-3</v>
      </c>
      <c r="G37" s="8">
        <f t="shared" si="45"/>
        <v>20.618556701030926</v>
      </c>
      <c r="H37" s="8">
        <f t="shared" si="45"/>
        <v>0.24796000000000001</v>
      </c>
      <c r="I37" s="8">
        <v>51000</v>
      </c>
      <c r="J37" s="8">
        <f t="shared" si="45"/>
        <v>0.28906275205678333</v>
      </c>
      <c r="K37" s="8">
        <f t="shared" si="45"/>
        <v>0</v>
      </c>
      <c r="L37" s="8">
        <f t="shared" si="45"/>
        <v>-5.6179775280898875E-3</v>
      </c>
      <c r="M37" s="8">
        <f t="shared" si="45"/>
        <v>20.618556701030926</v>
      </c>
      <c r="N37" s="8">
        <f t="shared" si="45"/>
        <v>0.17124309392265194</v>
      </c>
      <c r="O37" s="8">
        <v>249000</v>
      </c>
      <c r="P37" s="8">
        <f t="shared" si="45"/>
        <v>1</v>
      </c>
      <c r="Q37" s="8">
        <f t="shared" si="45"/>
        <v>2.9999999999999998E-14</v>
      </c>
      <c r="R37" s="8">
        <f t="shared" ref="R37:Y37" si="60">+R36</f>
        <v>0</v>
      </c>
      <c r="S37" s="8">
        <f t="shared" si="60"/>
        <v>10</v>
      </c>
      <c r="T37" s="8">
        <f t="shared" si="60"/>
        <v>2.67</v>
      </c>
      <c r="U37" s="8">
        <f t="shared" si="60"/>
        <v>20</v>
      </c>
      <c r="V37" s="8">
        <f t="shared" si="60"/>
        <v>25</v>
      </c>
      <c r="W37" s="8">
        <f t="shared" si="60"/>
        <v>40</v>
      </c>
      <c r="X37" s="8" t="str">
        <f t="shared" si="60"/>
        <v>N</v>
      </c>
      <c r="Y37" s="8" t="str">
        <f t="shared" si="60"/>
        <v>N</v>
      </c>
      <c r="Z37" s="11"/>
      <c r="AA37" s="11"/>
      <c r="AB37" s="11"/>
      <c r="AC37" s="11"/>
    </row>
    <row r="38" spans="1:29" x14ac:dyDescent="0.25">
      <c r="A38" s="7" t="str">
        <f t="shared" ref="A38" si="61">+A37</f>
        <v>1D, square, phase</v>
      </c>
      <c r="B38" s="8">
        <f t="shared" si="45"/>
        <v>0.2</v>
      </c>
      <c r="C38" s="8">
        <f t="shared" si="45"/>
        <v>0.5</v>
      </c>
      <c r="D38" s="8">
        <f t="shared" si="45"/>
        <v>0.5000806581706726</v>
      </c>
      <c r="E38" s="8">
        <f t="shared" si="45"/>
        <v>0</v>
      </c>
      <c r="F38" s="8">
        <f t="shared" si="45"/>
        <v>-5.9523809523809521E-3</v>
      </c>
      <c r="G38" s="8">
        <f t="shared" si="45"/>
        <v>20.618556701030926</v>
      </c>
      <c r="H38" s="8">
        <f t="shared" si="45"/>
        <v>0.24796000000000001</v>
      </c>
      <c r="I38" s="8">
        <v>52500</v>
      </c>
      <c r="J38" s="8">
        <f t="shared" si="45"/>
        <v>0.28906275205678333</v>
      </c>
      <c r="K38" s="8">
        <f t="shared" si="45"/>
        <v>0</v>
      </c>
      <c r="L38" s="8">
        <f t="shared" si="45"/>
        <v>-5.6179775280898875E-3</v>
      </c>
      <c r="M38" s="8">
        <f t="shared" si="45"/>
        <v>20.618556701030926</v>
      </c>
      <c r="N38" s="8">
        <f t="shared" si="45"/>
        <v>0.17124309392265194</v>
      </c>
      <c r="O38" s="8">
        <v>247500</v>
      </c>
      <c r="P38" s="8">
        <f t="shared" si="45"/>
        <v>1</v>
      </c>
      <c r="Q38" s="8">
        <f t="shared" si="45"/>
        <v>2.9999999999999998E-14</v>
      </c>
      <c r="R38" s="8">
        <f t="shared" ref="R38:Y38" si="62">+R37</f>
        <v>0</v>
      </c>
      <c r="S38" s="8">
        <f t="shared" si="62"/>
        <v>10</v>
      </c>
      <c r="T38" s="8">
        <f t="shared" si="62"/>
        <v>2.67</v>
      </c>
      <c r="U38" s="8">
        <f t="shared" si="62"/>
        <v>20</v>
      </c>
      <c r="V38" s="8">
        <f t="shared" si="62"/>
        <v>25</v>
      </c>
      <c r="W38" s="8">
        <f t="shared" si="62"/>
        <v>40</v>
      </c>
      <c r="X38" s="8" t="str">
        <f t="shared" si="62"/>
        <v>N</v>
      </c>
      <c r="Y38" s="8" t="str">
        <f t="shared" si="62"/>
        <v>N</v>
      </c>
      <c r="Z38" s="11"/>
      <c r="AA38" s="11"/>
      <c r="AB38" s="11"/>
      <c r="AC38" s="11"/>
    </row>
    <row r="39" spans="1:29" x14ac:dyDescent="0.25">
      <c r="A39" s="7" t="str">
        <f t="shared" ref="A39" si="63">+A38</f>
        <v>1D, square, phase</v>
      </c>
      <c r="B39" s="8">
        <f t="shared" si="45"/>
        <v>0.2</v>
      </c>
      <c r="C39" s="8">
        <f t="shared" si="45"/>
        <v>0.5</v>
      </c>
      <c r="D39" s="8">
        <f t="shared" si="45"/>
        <v>0.5000806581706726</v>
      </c>
      <c r="E39" s="8">
        <f t="shared" si="45"/>
        <v>0</v>
      </c>
      <c r="F39" s="8">
        <f t="shared" si="45"/>
        <v>-5.9523809523809521E-3</v>
      </c>
      <c r="G39" s="8">
        <f t="shared" si="45"/>
        <v>20.618556701030926</v>
      </c>
      <c r="H39" s="8">
        <f t="shared" si="45"/>
        <v>0.24796000000000001</v>
      </c>
      <c r="I39" s="8">
        <v>53999.999999999971</v>
      </c>
      <c r="J39" s="8">
        <f t="shared" si="45"/>
        <v>0.28906275205678333</v>
      </c>
      <c r="K39" s="8">
        <f t="shared" si="45"/>
        <v>0</v>
      </c>
      <c r="L39" s="8">
        <f t="shared" si="45"/>
        <v>-5.6179775280898875E-3</v>
      </c>
      <c r="M39" s="8">
        <f t="shared" si="45"/>
        <v>20.618556701030926</v>
      </c>
      <c r="N39" s="8">
        <f t="shared" si="45"/>
        <v>0.17124309392265194</v>
      </c>
      <c r="O39" s="8">
        <v>246000.00000000003</v>
      </c>
      <c r="P39" s="8">
        <f t="shared" si="45"/>
        <v>1</v>
      </c>
      <c r="Q39" s="8">
        <f t="shared" si="45"/>
        <v>2.9999999999999998E-14</v>
      </c>
      <c r="R39" s="8">
        <f t="shared" ref="R39:Y39" si="64">+R38</f>
        <v>0</v>
      </c>
      <c r="S39" s="8">
        <f t="shared" si="64"/>
        <v>10</v>
      </c>
      <c r="T39" s="8">
        <f t="shared" si="64"/>
        <v>2.67</v>
      </c>
      <c r="U39" s="8">
        <f t="shared" si="64"/>
        <v>20</v>
      </c>
      <c r="V39" s="8">
        <f t="shared" si="64"/>
        <v>25</v>
      </c>
      <c r="W39" s="8">
        <f t="shared" si="64"/>
        <v>40</v>
      </c>
      <c r="X39" s="8" t="str">
        <f t="shared" si="64"/>
        <v>N</v>
      </c>
      <c r="Y39" s="8" t="str">
        <f t="shared" si="64"/>
        <v>N</v>
      </c>
      <c r="Z39" s="11"/>
      <c r="AA39" s="11"/>
      <c r="AB39" s="11"/>
      <c r="AC39" s="11"/>
    </row>
    <row r="40" spans="1:29" x14ac:dyDescent="0.25">
      <c r="A40" s="7" t="str">
        <f t="shared" ref="A40" si="65">+A39</f>
        <v>1D, square, phase</v>
      </c>
      <c r="B40" s="8">
        <f t="shared" si="45"/>
        <v>0.2</v>
      </c>
      <c r="C40" s="8">
        <f t="shared" si="45"/>
        <v>0.5</v>
      </c>
      <c r="D40" s="8">
        <f t="shared" si="45"/>
        <v>0.5000806581706726</v>
      </c>
      <c r="E40" s="8">
        <f t="shared" si="45"/>
        <v>0</v>
      </c>
      <c r="F40" s="8">
        <f t="shared" si="45"/>
        <v>-5.9523809523809521E-3</v>
      </c>
      <c r="G40" s="8">
        <f t="shared" si="45"/>
        <v>20.618556701030926</v>
      </c>
      <c r="H40" s="8">
        <f t="shared" si="45"/>
        <v>0.24796000000000001</v>
      </c>
      <c r="I40" s="8">
        <v>55500.000000000029</v>
      </c>
      <c r="J40" s="8">
        <f t="shared" si="45"/>
        <v>0.28906275205678333</v>
      </c>
      <c r="K40" s="8">
        <f t="shared" si="45"/>
        <v>0</v>
      </c>
      <c r="L40" s="8">
        <f t="shared" si="45"/>
        <v>-5.6179775280898875E-3</v>
      </c>
      <c r="M40" s="8">
        <f t="shared" si="45"/>
        <v>20.618556701030926</v>
      </c>
      <c r="N40" s="8">
        <f t="shared" si="45"/>
        <v>0.17124309392265194</v>
      </c>
      <c r="O40" s="8">
        <v>244499.99999999997</v>
      </c>
      <c r="P40" s="8">
        <f t="shared" si="45"/>
        <v>1</v>
      </c>
      <c r="Q40" s="8">
        <f t="shared" si="45"/>
        <v>2.9999999999999998E-14</v>
      </c>
      <c r="R40" s="8">
        <f t="shared" ref="R40:Y40" si="66">+R39</f>
        <v>0</v>
      </c>
      <c r="S40" s="8">
        <f t="shared" si="66"/>
        <v>10</v>
      </c>
      <c r="T40" s="8">
        <f t="shared" si="66"/>
        <v>2.67</v>
      </c>
      <c r="U40" s="8">
        <f t="shared" si="66"/>
        <v>20</v>
      </c>
      <c r="V40" s="8">
        <f t="shared" si="66"/>
        <v>25</v>
      </c>
      <c r="W40" s="8">
        <f t="shared" si="66"/>
        <v>40</v>
      </c>
      <c r="X40" s="8" t="str">
        <f t="shared" si="66"/>
        <v>N</v>
      </c>
      <c r="Y40" s="8" t="str">
        <f t="shared" si="66"/>
        <v>N</v>
      </c>
      <c r="Z40" s="11"/>
      <c r="AA40" s="11"/>
      <c r="AB40" s="11"/>
      <c r="AC40" s="11"/>
    </row>
    <row r="41" spans="1:29" x14ac:dyDescent="0.25">
      <c r="A41" s="7" t="str">
        <f t="shared" ref="A41" si="67">+A40</f>
        <v>1D, square, phase</v>
      </c>
      <c r="B41" s="8">
        <f t="shared" si="45"/>
        <v>0.2</v>
      </c>
      <c r="C41" s="8">
        <f t="shared" si="45"/>
        <v>0.5</v>
      </c>
      <c r="D41" s="8">
        <f t="shared" si="45"/>
        <v>0.5000806581706726</v>
      </c>
      <c r="E41" s="8">
        <f t="shared" si="45"/>
        <v>0</v>
      </c>
      <c r="F41" s="8">
        <f t="shared" si="45"/>
        <v>-5.9523809523809521E-3</v>
      </c>
      <c r="G41" s="8">
        <f t="shared" si="45"/>
        <v>20.618556701030926</v>
      </c>
      <c r="H41" s="8">
        <f t="shared" si="45"/>
        <v>0.24796000000000001</v>
      </c>
      <c r="I41" s="8">
        <v>56999.999999999971</v>
      </c>
      <c r="J41" s="8">
        <f t="shared" si="45"/>
        <v>0.28906275205678333</v>
      </c>
      <c r="K41" s="8">
        <f t="shared" si="45"/>
        <v>0</v>
      </c>
      <c r="L41" s="8">
        <f t="shared" si="45"/>
        <v>-5.6179775280898875E-3</v>
      </c>
      <c r="M41" s="8">
        <f t="shared" si="45"/>
        <v>20.618556701030926</v>
      </c>
      <c r="N41" s="8">
        <f t="shared" si="45"/>
        <v>0.17124309392265194</v>
      </c>
      <c r="O41" s="8">
        <v>243000.00000000003</v>
      </c>
      <c r="P41" s="8">
        <f t="shared" si="45"/>
        <v>1</v>
      </c>
      <c r="Q41" s="8">
        <f t="shared" si="45"/>
        <v>2.9999999999999998E-14</v>
      </c>
      <c r="R41" s="8">
        <f t="shared" ref="R41:Y41" si="68">+R40</f>
        <v>0</v>
      </c>
      <c r="S41" s="8">
        <f t="shared" si="68"/>
        <v>10</v>
      </c>
      <c r="T41" s="8">
        <f t="shared" si="68"/>
        <v>2.67</v>
      </c>
      <c r="U41" s="8">
        <f t="shared" si="68"/>
        <v>20</v>
      </c>
      <c r="V41" s="8">
        <f t="shared" si="68"/>
        <v>25</v>
      </c>
      <c r="W41" s="8">
        <f t="shared" si="68"/>
        <v>40</v>
      </c>
      <c r="X41" s="8" t="str">
        <f t="shared" si="68"/>
        <v>N</v>
      </c>
      <c r="Y41" s="8" t="str">
        <f t="shared" si="68"/>
        <v>N</v>
      </c>
      <c r="Z41" s="11"/>
      <c r="AA41" s="11"/>
      <c r="AB41" s="11"/>
      <c r="AC41" s="11"/>
    </row>
    <row r="42" spans="1:29" x14ac:dyDescent="0.25">
      <c r="A42" s="7" t="str">
        <f t="shared" ref="A42" si="69">+A41</f>
        <v>1D, square, phase</v>
      </c>
      <c r="B42" s="8">
        <f t="shared" si="45"/>
        <v>0.2</v>
      </c>
      <c r="C42" s="8">
        <f t="shared" si="45"/>
        <v>0.5</v>
      </c>
      <c r="D42" s="8">
        <f t="shared" si="45"/>
        <v>0.5000806581706726</v>
      </c>
      <c r="E42" s="8">
        <f t="shared" si="45"/>
        <v>0</v>
      </c>
      <c r="F42" s="8">
        <f t="shared" si="45"/>
        <v>-5.9523809523809521E-3</v>
      </c>
      <c r="G42" s="8">
        <f t="shared" si="45"/>
        <v>20.618556701030926</v>
      </c>
      <c r="H42" s="8">
        <f t="shared" si="45"/>
        <v>0.24796000000000001</v>
      </c>
      <c r="I42" s="8">
        <v>58500.000000000029</v>
      </c>
      <c r="J42" s="8">
        <f t="shared" si="45"/>
        <v>0.28906275205678333</v>
      </c>
      <c r="K42" s="8">
        <f t="shared" si="45"/>
        <v>0</v>
      </c>
      <c r="L42" s="8">
        <f t="shared" si="45"/>
        <v>-5.6179775280898875E-3</v>
      </c>
      <c r="M42" s="8">
        <f t="shared" si="45"/>
        <v>20.618556701030926</v>
      </c>
      <c r="N42" s="8">
        <f t="shared" si="45"/>
        <v>0.17124309392265194</v>
      </c>
      <c r="O42" s="8">
        <v>241499.99999999997</v>
      </c>
      <c r="P42" s="8">
        <f t="shared" si="45"/>
        <v>1</v>
      </c>
      <c r="Q42" s="8">
        <f t="shared" si="45"/>
        <v>2.9999999999999998E-14</v>
      </c>
      <c r="R42" s="8">
        <f t="shared" ref="R42:Y42" si="70">+R41</f>
        <v>0</v>
      </c>
      <c r="S42" s="8">
        <f t="shared" si="70"/>
        <v>10</v>
      </c>
      <c r="T42" s="8">
        <f t="shared" si="70"/>
        <v>2.67</v>
      </c>
      <c r="U42" s="8">
        <f t="shared" si="70"/>
        <v>20</v>
      </c>
      <c r="V42" s="8">
        <f t="shared" si="70"/>
        <v>25</v>
      </c>
      <c r="W42" s="8">
        <f t="shared" si="70"/>
        <v>40</v>
      </c>
      <c r="X42" s="8" t="str">
        <f t="shared" si="70"/>
        <v>N</v>
      </c>
      <c r="Y42" s="8" t="str">
        <f t="shared" si="70"/>
        <v>N</v>
      </c>
      <c r="Z42" s="11"/>
      <c r="AA42" s="11"/>
      <c r="AB42" s="11"/>
      <c r="AC42" s="11"/>
    </row>
    <row r="43" spans="1:29" x14ac:dyDescent="0.25">
      <c r="A43" s="7" t="str">
        <f t="shared" ref="A43" si="71">+A42</f>
        <v>1D, square, phase</v>
      </c>
      <c r="B43" s="8">
        <f t="shared" si="45"/>
        <v>0.2</v>
      </c>
      <c r="C43" s="8">
        <f t="shared" si="45"/>
        <v>0.5</v>
      </c>
      <c r="D43" s="8">
        <f t="shared" si="45"/>
        <v>0.5000806581706726</v>
      </c>
      <c r="E43" s="8">
        <f t="shared" si="45"/>
        <v>0</v>
      </c>
      <c r="F43" s="8">
        <f t="shared" si="45"/>
        <v>-5.9523809523809521E-3</v>
      </c>
      <c r="G43" s="8">
        <f t="shared" si="45"/>
        <v>20.618556701030926</v>
      </c>
      <c r="H43" s="8">
        <f t="shared" si="45"/>
        <v>0.24796000000000001</v>
      </c>
      <c r="I43" s="8">
        <v>60000</v>
      </c>
      <c r="J43" s="8">
        <f t="shared" si="45"/>
        <v>0.28906275205678333</v>
      </c>
      <c r="K43" s="8">
        <f t="shared" si="45"/>
        <v>0</v>
      </c>
      <c r="L43" s="8">
        <f t="shared" si="45"/>
        <v>-5.6179775280898875E-3</v>
      </c>
      <c r="M43" s="8">
        <f t="shared" si="45"/>
        <v>20.618556701030926</v>
      </c>
      <c r="N43" s="8">
        <f t="shared" si="45"/>
        <v>0.17124309392265194</v>
      </c>
      <c r="O43" s="8">
        <v>240000</v>
      </c>
      <c r="P43" s="8">
        <f t="shared" si="45"/>
        <v>1</v>
      </c>
      <c r="Q43" s="8">
        <f t="shared" si="45"/>
        <v>2.9999999999999998E-14</v>
      </c>
      <c r="R43" s="8">
        <f t="shared" ref="R43:Y43" si="72">+R42</f>
        <v>0</v>
      </c>
      <c r="S43" s="8">
        <f t="shared" si="72"/>
        <v>10</v>
      </c>
      <c r="T43" s="8">
        <f t="shared" si="72"/>
        <v>2.67</v>
      </c>
      <c r="U43" s="8">
        <f t="shared" si="72"/>
        <v>20</v>
      </c>
      <c r="V43" s="8">
        <f t="shared" si="72"/>
        <v>25</v>
      </c>
      <c r="W43" s="8">
        <f t="shared" si="72"/>
        <v>40</v>
      </c>
      <c r="X43" s="8" t="str">
        <f t="shared" si="72"/>
        <v>N</v>
      </c>
      <c r="Y43" s="8" t="str">
        <f t="shared" si="72"/>
        <v>N</v>
      </c>
      <c r="Z43" s="11"/>
      <c r="AA43" s="11"/>
      <c r="AB43" s="11"/>
      <c r="AC43" s="11"/>
    </row>
    <row r="44" spans="1:29" x14ac:dyDescent="0.25">
      <c r="A44" s="7" t="str">
        <f t="shared" ref="A44" si="73">+A43</f>
        <v>1D, square, phase</v>
      </c>
      <c r="B44" s="8">
        <f t="shared" si="45"/>
        <v>0.2</v>
      </c>
      <c r="C44" s="8">
        <f t="shared" si="45"/>
        <v>0.5</v>
      </c>
      <c r="D44" s="8">
        <f t="shared" si="45"/>
        <v>0.5000806581706726</v>
      </c>
      <c r="E44" s="8">
        <f t="shared" si="45"/>
        <v>0</v>
      </c>
      <c r="F44" s="8">
        <f t="shared" si="45"/>
        <v>-5.9523809523809521E-3</v>
      </c>
      <c r="G44" s="8">
        <f t="shared" si="45"/>
        <v>20.618556701030926</v>
      </c>
      <c r="H44" s="8">
        <f t="shared" si="45"/>
        <v>0.24796000000000001</v>
      </c>
      <c r="I44" s="8">
        <v>61500</v>
      </c>
      <c r="J44" s="8">
        <f t="shared" si="45"/>
        <v>0.28906275205678333</v>
      </c>
      <c r="K44" s="8">
        <f t="shared" si="45"/>
        <v>0</v>
      </c>
      <c r="L44" s="8">
        <f t="shared" si="45"/>
        <v>-5.6179775280898875E-3</v>
      </c>
      <c r="M44" s="8">
        <f t="shared" si="45"/>
        <v>20.618556701030926</v>
      </c>
      <c r="N44" s="8">
        <f t="shared" si="45"/>
        <v>0.17124309392265194</v>
      </c>
      <c r="O44" s="8">
        <v>238500</v>
      </c>
      <c r="P44" s="8">
        <f t="shared" si="45"/>
        <v>1</v>
      </c>
      <c r="Q44" s="8">
        <f t="shared" si="45"/>
        <v>2.9999999999999998E-14</v>
      </c>
      <c r="R44" s="8">
        <f t="shared" ref="R44:Y44" si="74">+R43</f>
        <v>0</v>
      </c>
      <c r="S44" s="8">
        <f t="shared" si="74"/>
        <v>10</v>
      </c>
      <c r="T44" s="8">
        <f t="shared" si="74"/>
        <v>2.67</v>
      </c>
      <c r="U44" s="8">
        <f t="shared" si="74"/>
        <v>20</v>
      </c>
      <c r="V44" s="8">
        <f t="shared" si="74"/>
        <v>25</v>
      </c>
      <c r="W44" s="8">
        <f t="shared" si="74"/>
        <v>40</v>
      </c>
      <c r="X44" s="8" t="str">
        <f t="shared" si="74"/>
        <v>N</v>
      </c>
      <c r="Y44" s="8" t="str">
        <f t="shared" si="74"/>
        <v>N</v>
      </c>
      <c r="Z44" s="11"/>
      <c r="AA44" s="11"/>
      <c r="AB44" s="11"/>
      <c r="AC44" s="11"/>
    </row>
    <row r="45" spans="1:29" x14ac:dyDescent="0.25">
      <c r="A45" s="7" t="str">
        <f t="shared" ref="A45" si="75">+A44</f>
        <v>1D, square, phase</v>
      </c>
      <c r="B45" s="8">
        <f t="shared" si="45"/>
        <v>0.2</v>
      </c>
      <c r="C45" s="8">
        <f t="shared" si="45"/>
        <v>0.5</v>
      </c>
      <c r="D45" s="8">
        <f t="shared" si="45"/>
        <v>0.5000806581706726</v>
      </c>
      <c r="E45" s="8">
        <f t="shared" si="45"/>
        <v>0</v>
      </c>
      <c r="F45" s="8">
        <f t="shared" si="45"/>
        <v>-5.9523809523809521E-3</v>
      </c>
      <c r="G45" s="8">
        <f t="shared" si="45"/>
        <v>20.618556701030926</v>
      </c>
      <c r="H45" s="8">
        <f t="shared" si="45"/>
        <v>0.24796000000000001</v>
      </c>
      <c r="I45" s="8">
        <v>63000</v>
      </c>
      <c r="J45" s="8">
        <f t="shared" si="45"/>
        <v>0.28906275205678333</v>
      </c>
      <c r="K45" s="8">
        <f t="shared" si="45"/>
        <v>0</v>
      </c>
      <c r="L45" s="8">
        <f t="shared" si="45"/>
        <v>-5.6179775280898875E-3</v>
      </c>
      <c r="M45" s="8">
        <f t="shared" si="45"/>
        <v>20.618556701030926</v>
      </c>
      <c r="N45" s="8">
        <f t="shared" si="45"/>
        <v>0.17124309392265194</v>
      </c>
      <c r="O45" s="8">
        <v>237000</v>
      </c>
      <c r="P45" s="8">
        <f t="shared" si="45"/>
        <v>1</v>
      </c>
      <c r="Q45" s="8">
        <f t="shared" ref="Q45:Y45" si="76">+Q44</f>
        <v>2.9999999999999998E-14</v>
      </c>
      <c r="R45" s="8">
        <f t="shared" si="76"/>
        <v>0</v>
      </c>
      <c r="S45" s="8">
        <f t="shared" si="76"/>
        <v>10</v>
      </c>
      <c r="T45" s="8">
        <f t="shared" si="76"/>
        <v>2.67</v>
      </c>
      <c r="U45" s="8">
        <f t="shared" si="76"/>
        <v>20</v>
      </c>
      <c r="V45" s="8">
        <f t="shared" si="76"/>
        <v>25</v>
      </c>
      <c r="W45" s="8">
        <f t="shared" si="76"/>
        <v>40</v>
      </c>
      <c r="X45" s="8" t="str">
        <f t="shared" si="76"/>
        <v>N</v>
      </c>
      <c r="Y45" s="8" t="str">
        <f t="shared" si="76"/>
        <v>N</v>
      </c>
      <c r="Z45" s="11"/>
      <c r="AA45" s="11"/>
      <c r="AB45" s="11"/>
      <c r="AC45" s="11"/>
    </row>
    <row r="46" spans="1:29" x14ac:dyDescent="0.25">
      <c r="A46" s="7" t="str">
        <f t="shared" ref="A46" si="77">+A45</f>
        <v>1D, square, phase</v>
      </c>
      <c r="B46" s="8">
        <f t="shared" ref="B46:Q61" si="78">+B45</f>
        <v>0.2</v>
      </c>
      <c r="C46" s="8">
        <f t="shared" si="78"/>
        <v>0.5</v>
      </c>
      <c r="D46" s="8">
        <f t="shared" si="78"/>
        <v>0.5000806581706726</v>
      </c>
      <c r="E46" s="8">
        <f t="shared" si="78"/>
        <v>0</v>
      </c>
      <c r="F46" s="8">
        <f t="shared" si="78"/>
        <v>-5.9523809523809521E-3</v>
      </c>
      <c r="G46" s="8">
        <f t="shared" si="78"/>
        <v>20.618556701030926</v>
      </c>
      <c r="H46" s="8">
        <f t="shared" si="78"/>
        <v>0.24796000000000001</v>
      </c>
      <c r="I46" s="8">
        <v>64500</v>
      </c>
      <c r="J46" s="8">
        <f t="shared" si="78"/>
        <v>0.28906275205678333</v>
      </c>
      <c r="K46" s="8">
        <f t="shared" si="78"/>
        <v>0</v>
      </c>
      <c r="L46" s="8">
        <f t="shared" si="78"/>
        <v>-5.6179775280898875E-3</v>
      </c>
      <c r="M46" s="8">
        <f t="shared" si="78"/>
        <v>20.618556701030926</v>
      </c>
      <c r="N46" s="8">
        <f t="shared" si="78"/>
        <v>0.17124309392265194</v>
      </c>
      <c r="O46" s="8">
        <v>235500</v>
      </c>
      <c r="P46" s="8">
        <f t="shared" si="78"/>
        <v>1</v>
      </c>
      <c r="Q46" s="8">
        <f t="shared" si="78"/>
        <v>2.9999999999999998E-14</v>
      </c>
      <c r="R46" s="8">
        <f t="shared" ref="R46:Y46" si="79">+R45</f>
        <v>0</v>
      </c>
      <c r="S46" s="8">
        <f t="shared" si="79"/>
        <v>10</v>
      </c>
      <c r="T46" s="8">
        <f t="shared" si="79"/>
        <v>2.67</v>
      </c>
      <c r="U46" s="8">
        <f t="shared" si="79"/>
        <v>20</v>
      </c>
      <c r="V46" s="8">
        <f t="shared" si="79"/>
        <v>25</v>
      </c>
      <c r="W46" s="8">
        <f t="shared" si="79"/>
        <v>40</v>
      </c>
      <c r="X46" s="8" t="str">
        <f t="shared" si="79"/>
        <v>N</v>
      </c>
      <c r="Y46" s="8" t="str">
        <f t="shared" si="79"/>
        <v>N</v>
      </c>
      <c r="Z46" s="11"/>
      <c r="AA46" s="11"/>
      <c r="AB46" s="11"/>
      <c r="AC46" s="11"/>
    </row>
    <row r="47" spans="1:29" x14ac:dyDescent="0.25">
      <c r="A47" s="7" t="str">
        <f t="shared" ref="A47" si="80">+A46</f>
        <v>1D, square, phase</v>
      </c>
      <c r="B47" s="8">
        <f t="shared" si="78"/>
        <v>0.2</v>
      </c>
      <c r="C47" s="8">
        <f t="shared" si="78"/>
        <v>0.5</v>
      </c>
      <c r="D47" s="8">
        <f t="shared" si="78"/>
        <v>0.5000806581706726</v>
      </c>
      <c r="E47" s="8">
        <f t="shared" si="78"/>
        <v>0</v>
      </c>
      <c r="F47" s="8">
        <f t="shared" si="78"/>
        <v>-5.9523809523809521E-3</v>
      </c>
      <c r="G47" s="8">
        <f t="shared" si="78"/>
        <v>20.618556701030926</v>
      </c>
      <c r="H47" s="8">
        <f t="shared" si="78"/>
        <v>0.24796000000000001</v>
      </c>
      <c r="I47" s="8">
        <v>66000</v>
      </c>
      <c r="J47" s="8">
        <f t="shared" si="78"/>
        <v>0.28906275205678333</v>
      </c>
      <c r="K47" s="8">
        <f t="shared" si="78"/>
        <v>0</v>
      </c>
      <c r="L47" s="8">
        <f t="shared" si="78"/>
        <v>-5.6179775280898875E-3</v>
      </c>
      <c r="M47" s="8">
        <f t="shared" si="78"/>
        <v>20.618556701030926</v>
      </c>
      <c r="N47" s="8">
        <f t="shared" si="78"/>
        <v>0.17124309392265194</v>
      </c>
      <c r="O47" s="8">
        <v>234000</v>
      </c>
      <c r="P47" s="8">
        <f t="shared" si="78"/>
        <v>1</v>
      </c>
      <c r="Q47" s="8">
        <f t="shared" si="78"/>
        <v>2.9999999999999998E-14</v>
      </c>
      <c r="R47" s="8">
        <f t="shared" ref="R47:Y47" si="81">+R46</f>
        <v>0</v>
      </c>
      <c r="S47" s="8">
        <f t="shared" si="81"/>
        <v>10</v>
      </c>
      <c r="T47" s="8">
        <f t="shared" si="81"/>
        <v>2.67</v>
      </c>
      <c r="U47" s="8">
        <f t="shared" si="81"/>
        <v>20</v>
      </c>
      <c r="V47" s="8">
        <f t="shared" si="81"/>
        <v>25</v>
      </c>
      <c r="W47" s="8">
        <f t="shared" si="81"/>
        <v>40</v>
      </c>
      <c r="X47" s="8" t="str">
        <f t="shared" si="81"/>
        <v>N</v>
      </c>
      <c r="Y47" s="8" t="str">
        <f t="shared" si="81"/>
        <v>N</v>
      </c>
      <c r="Z47" s="11"/>
      <c r="AA47" s="11"/>
      <c r="AB47" s="11"/>
      <c r="AC47" s="11"/>
    </row>
    <row r="48" spans="1:29" x14ac:dyDescent="0.25">
      <c r="A48" s="7" t="str">
        <f t="shared" ref="A48" si="82">+A47</f>
        <v>1D, square, phase</v>
      </c>
      <c r="B48" s="8">
        <f t="shared" si="78"/>
        <v>0.2</v>
      </c>
      <c r="C48" s="8">
        <f t="shared" si="78"/>
        <v>0.5</v>
      </c>
      <c r="D48" s="8">
        <f t="shared" si="78"/>
        <v>0.5000806581706726</v>
      </c>
      <c r="E48" s="8">
        <f t="shared" si="78"/>
        <v>0</v>
      </c>
      <c r="F48" s="8">
        <f t="shared" si="78"/>
        <v>-5.9523809523809521E-3</v>
      </c>
      <c r="G48" s="8">
        <f t="shared" si="78"/>
        <v>20.618556701030926</v>
      </c>
      <c r="H48" s="8">
        <f t="shared" si="78"/>
        <v>0.24796000000000001</v>
      </c>
      <c r="I48" s="8">
        <v>67500</v>
      </c>
      <c r="J48" s="8">
        <f t="shared" si="78"/>
        <v>0.28906275205678333</v>
      </c>
      <c r="K48" s="8">
        <f t="shared" si="78"/>
        <v>0</v>
      </c>
      <c r="L48" s="8">
        <f t="shared" si="78"/>
        <v>-5.6179775280898875E-3</v>
      </c>
      <c r="M48" s="8">
        <f t="shared" si="78"/>
        <v>20.618556701030926</v>
      </c>
      <c r="N48" s="8">
        <f t="shared" si="78"/>
        <v>0.17124309392265194</v>
      </c>
      <c r="O48" s="8">
        <v>232500</v>
      </c>
      <c r="P48" s="8">
        <f t="shared" si="78"/>
        <v>1</v>
      </c>
      <c r="Q48" s="8">
        <f t="shared" si="78"/>
        <v>2.9999999999999998E-14</v>
      </c>
      <c r="R48" s="8">
        <f t="shared" ref="R48:Y48" si="83">+R47</f>
        <v>0</v>
      </c>
      <c r="S48" s="8">
        <f t="shared" si="83"/>
        <v>10</v>
      </c>
      <c r="T48" s="8">
        <f t="shared" si="83"/>
        <v>2.67</v>
      </c>
      <c r="U48" s="8">
        <f t="shared" si="83"/>
        <v>20</v>
      </c>
      <c r="V48" s="8">
        <f t="shared" si="83"/>
        <v>25</v>
      </c>
      <c r="W48" s="8">
        <f t="shared" si="83"/>
        <v>40</v>
      </c>
      <c r="X48" s="8" t="str">
        <f t="shared" si="83"/>
        <v>N</v>
      </c>
      <c r="Y48" s="8" t="str">
        <f t="shared" si="83"/>
        <v>N</v>
      </c>
      <c r="Z48" s="11"/>
      <c r="AA48" s="11"/>
      <c r="AB48" s="11"/>
      <c r="AC48" s="11"/>
    </row>
    <row r="49" spans="1:29" x14ac:dyDescent="0.25">
      <c r="A49" s="7" t="str">
        <f t="shared" ref="A49" si="84">+A48</f>
        <v>1D, square, phase</v>
      </c>
      <c r="B49" s="8">
        <f t="shared" si="78"/>
        <v>0.2</v>
      </c>
      <c r="C49" s="8">
        <f t="shared" si="78"/>
        <v>0.5</v>
      </c>
      <c r="D49" s="8">
        <f t="shared" si="78"/>
        <v>0.5000806581706726</v>
      </c>
      <c r="E49" s="8">
        <f t="shared" si="78"/>
        <v>0</v>
      </c>
      <c r="F49" s="8">
        <f t="shared" si="78"/>
        <v>-5.9523809523809521E-3</v>
      </c>
      <c r="G49" s="8">
        <f t="shared" si="78"/>
        <v>20.618556701030926</v>
      </c>
      <c r="H49" s="8">
        <f t="shared" si="78"/>
        <v>0.24796000000000001</v>
      </c>
      <c r="I49" s="8">
        <v>69000</v>
      </c>
      <c r="J49" s="8">
        <f t="shared" si="78"/>
        <v>0.28906275205678333</v>
      </c>
      <c r="K49" s="8">
        <f t="shared" si="78"/>
        <v>0</v>
      </c>
      <c r="L49" s="8">
        <f t="shared" si="78"/>
        <v>-5.6179775280898875E-3</v>
      </c>
      <c r="M49" s="8">
        <f t="shared" si="78"/>
        <v>20.618556701030926</v>
      </c>
      <c r="N49" s="8">
        <f t="shared" si="78"/>
        <v>0.17124309392265194</v>
      </c>
      <c r="O49" s="8">
        <v>231000</v>
      </c>
      <c r="P49" s="8">
        <f t="shared" si="78"/>
        <v>1</v>
      </c>
      <c r="Q49" s="8">
        <f t="shared" si="78"/>
        <v>2.9999999999999998E-14</v>
      </c>
      <c r="R49" s="8">
        <f t="shared" ref="R49:Y49" si="85">+R48</f>
        <v>0</v>
      </c>
      <c r="S49" s="8">
        <f t="shared" si="85"/>
        <v>10</v>
      </c>
      <c r="T49" s="8">
        <f t="shared" si="85"/>
        <v>2.67</v>
      </c>
      <c r="U49" s="8">
        <f t="shared" si="85"/>
        <v>20</v>
      </c>
      <c r="V49" s="8">
        <f t="shared" si="85"/>
        <v>25</v>
      </c>
      <c r="W49" s="8">
        <f t="shared" si="85"/>
        <v>40</v>
      </c>
      <c r="X49" s="8" t="str">
        <f t="shared" si="85"/>
        <v>N</v>
      </c>
      <c r="Y49" s="8" t="str">
        <f t="shared" si="85"/>
        <v>N</v>
      </c>
      <c r="Z49" s="11"/>
      <c r="AA49" s="11"/>
      <c r="AB49" s="11"/>
      <c r="AC49" s="11"/>
    </row>
    <row r="50" spans="1:29" x14ac:dyDescent="0.25">
      <c r="A50" s="7" t="str">
        <f t="shared" ref="A50" si="86">+A49</f>
        <v>1D, square, phase</v>
      </c>
      <c r="B50" s="8">
        <f t="shared" si="78"/>
        <v>0.2</v>
      </c>
      <c r="C50" s="8">
        <f t="shared" si="78"/>
        <v>0.5</v>
      </c>
      <c r="D50" s="8">
        <f t="shared" si="78"/>
        <v>0.5000806581706726</v>
      </c>
      <c r="E50" s="8">
        <f t="shared" si="78"/>
        <v>0</v>
      </c>
      <c r="F50" s="8">
        <f t="shared" si="78"/>
        <v>-5.9523809523809521E-3</v>
      </c>
      <c r="G50" s="8">
        <f t="shared" si="78"/>
        <v>20.618556701030926</v>
      </c>
      <c r="H50" s="8">
        <f t="shared" si="78"/>
        <v>0.24796000000000001</v>
      </c>
      <c r="I50" s="8">
        <v>70500</v>
      </c>
      <c r="J50" s="8">
        <f t="shared" si="78"/>
        <v>0.28906275205678333</v>
      </c>
      <c r="K50" s="8">
        <f t="shared" si="78"/>
        <v>0</v>
      </c>
      <c r="L50" s="8">
        <f t="shared" si="78"/>
        <v>-5.6179775280898875E-3</v>
      </c>
      <c r="M50" s="8">
        <f t="shared" si="78"/>
        <v>20.618556701030926</v>
      </c>
      <c r="N50" s="8">
        <f t="shared" si="78"/>
        <v>0.17124309392265194</v>
      </c>
      <c r="O50" s="8">
        <v>229500</v>
      </c>
      <c r="P50" s="8">
        <f t="shared" si="78"/>
        <v>1</v>
      </c>
      <c r="Q50" s="8">
        <f t="shared" si="78"/>
        <v>2.9999999999999998E-14</v>
      </c>
      <c r="R50" s="8">
        <f t="shared" ref="R50:Y50" si="87">+R49</f>
        <v>0</v>
      </c>
      <c r="S50" s="8">
        <f t="shared" si="87"/>
        <v>10</v>
      </c>
      <c r="T50" s="8">
        <f t="shared" si="87"/>
        <v>2.67</v>
      </c>
      <c r="U50" s="8">
        <f t="shared" si="87"/>
        <v>20</v>
      </c>
      <c r="V50" s="8">
        <f t="shared" si="87"/>
        <v>25</v>
      </c>
      <c r="W50" s="8">
        <f t="shared" si="87"/>
        <v>40</v>
      </c>
      <c r="X50" s="8" t="str">
        <f t="shared" si="87"/>
        <v>N</v>
      </c>
      <c r="Y50" s="8" t="str">
        <f t="shared" si="87"/>
        <v>N</v>
      </c>
      <c r="Z50" s="11"/>
      <c r="AA50" s="11"/>
      <c r="AB50" s="11"/>
      <c r="AC50" s="11"/>
    </row>
    <row r="51" spans="1:29" x14ac:dyDescent="0.25">
      <c r="A51" s="7" t="str">
        <f t="shared" ref="A51" si="88">+A50</f>
        <v>1D, square, phase</v>
      </c>
      <c r="B51" s="8">
        <f t="shared" si="78"/>
        <v>0.2</v>
      </c>
      <c r="C51" s="8">
        <f t="shared" si="78"/>
        <v>0.5</v>
      </c>
      <c r="D51" s="8">
        <f t="shared" si="78"/>
        <v>0.5000806581706726</v>
      </c>
      <c r="E51" s="8">
        <f t="shared" si="78"/>
        <v>0</v>
      </c>
      <c r="F51" s="8">
        <f t="shared" si="78"/>
        <v>-5.9523809523809521E-3</v>
      </c>
      <c r="G51" s="8">
        <f t="shared" si="78"/>
        <v>20.618556701030926</v>
      </c>
      <c r="H51" s="8">
        <f t="shared" si="78"/>
        <v>0.24796000000000001</v>
      </c>
      <c r="I51" s="8">
        <v>72000</v>
      </c>
      <c r="J51" s="8">
        <f t="shared" si="78"/>
        <v>0.28906275205678333</v>
      </c>
      <c r="K51" s="8">
        <f t="shared" si="78"/>
        <v>0</v>
      </c>
      <c r="L51" s="8">
        <f t="shared" si="78"/>
        <v>-5.6179775280898875E-3</v>
      </c>
      <c r="M51" s="8">
        <f t="shared" si="78"/>
        <v>20.618556701030926</v>
      </c>
      <c r="N51" s="8">
        <f t="shared" si="78"/>
        <v>0.17124309392265194</v>
      </c>
      <c r="O51" s="8">
        <v>228000</v>
      </c>
      <c r="P51" s="8">
        <f t="shared" si="78"/>
        <v>1</v>
      </c>
      <c r="Q51" s="8">
        <f t="shared" si="78"/>
        <v>2.9999999999999998E-14</v>
      </c>
      <c r="R51" s="8">
        <f t="shared" ref="R51:Y51" si="89">+R50</f>
        <v>0</v>
      </c>
      <c r="S51" s="8">
        <f t="shared" si="89"/>
        <v>10</v>
      </c>
      <c r="T51" s="8">
        <f t="shared" si="89"/>
        <v>2.67</v>
      </c>
      <c r="U51" s="8">
        <f t="shared" si="89"/>
        <v>20</v>
      </c>
      <c r="V51" s="8">
        <f t="shared" si="89"/>
        <v>25</v>
      </c>
      <c r="W51" s="8">
        <f t="shared" si="89"/>
        <v>40</v>
      </c>
      <c r="X51" s="8" t="str">
        <f t="shared" si="89"/>
        <v>N</v>
      </c>
      <c r="Y51" s="8" t="str">
        <f t="shared" si="89"/>
        <v>N</v>
      </c>
      <c r="Z51" s="11"/>
      <c r="AA51" s="11"/>
      <c r="AB51" s="11"/>
      <c r="AC51" s="11"/>
    </row>
    <row r="52" spans="1:29" x14ac:dyDescent="0.25">
      <c r="A52" s="7" t="str">
        <f t="shared" ref="A52" si="90">+A51</f>
        <v>1D, square, phase</v>
      </c>
      <c r="B52" s="8">
        <f t="shared" si="78"/>
        <v>0.2</v>
      </c>
      <c r="C52" s="8">
        <f t="shared" si="78"/>
        <v>0.5</v>
      </c>
      <c r="D52" s="8">
        <f t="shared" si="78"/>
        <v>0.5000806581706726</v>
      </c>
      <c r="E52" s="8">
        <f t="shared" si="78"/>
        <v>0</v>
      </c>
      <c r="F52" s="8">
        <f t="shared" si="78"/>
        <v>-5.9523809523809521E-3</v>
      </c>
      <c r="G52" s="8">
        <f t="shared" si="78"/>
        <v>20.618556701030926</v>
      </c>
      <c r="H52" s="8">
        <f t="shared" si="78"/>
        <v>0.24796000000000001</v>
      </c>
      <c r="I52" s="8">
        <v>73500</v>
      </c>
      <c r="J52" s="8">
        <f t="shared" si="78"/>
        <v>0.28906275205678333</v>
      </c>
      <c r="K52" s="8">
        <f t="shared" si="78"/>
        <v>0</v>
      </c>
      <c r="L52" s="8">
        <f t="shared" si="78"/>
        <v>-5.6179775280898875E-3</v>
      </c>
      <c r="M52" s="8">
        <f t="shared" si="78"/>
        <v>20.618556701030926</v>
      </c>
      <c r="N52" s="8">
        <f t="shared" si="78"/>
        <v>0.17124309392265194</v>
      </c>
      <c r="O52" s="8">
        <v>226500</v>
      </c>
      <c r="P52" s="8">
        <f t="shared" si="78"/>
        <v>1</v>
      </c>
      <c r="Q52" s="8">
        <f t="shared" si="78"/>
        <v>2.9999999999999998E-14</v>
      </c>
      <c r="R52" s="8">
        <f t="shared" ref="R52:Y52" si="91">+R51</f>
        <v>0</v>
      </c>
      <c r="S52" s="8">
        <f t="shared" si="91"/>
        <v>10</v>
      </c>
      <c r="T52" s="8">
        <f t="shared" si="91"/>
        <v>2.67</v>
      </c>
      <c r="U52" s="8">
        <f t="shared" si="91"/>
        <v>20</v>
      </c>
      <c r="V52" s="8">
        <f t="shared" si="91"/>
        <v>25</v>
      </c>
      <c r="W52" s="8">
        <f t="shared" si="91"/>
        <v>40</v>
      </c>
      <c r="X52" s="8" t="str">
        <f t="shared" si="91"/>
        <v>N</v>
      </c>
      <c r="Y52" s="8" t="str">
        <f t="shared" si="91"/>
        <v>N</v>
      </c>
      <c r="Z52" s="11"/>
      <c r="AA52" s="11"/>
      <c r="AB52" s="11"/>
      <c r="AC52" s="11"/>
    </row>
    <row r="53" spans="1:29" x14ac:dyDescent="0.25">
      <c r="A53" s="7" t="str">
        <f t="shared" ref="A53" si="92">+A52</f>
        <v>1D, square, phase</v>
      </c>
      <c r="B53" s="8">
        <f t="shared" si="78"/>
        <v>0.2</v>
      </c>
      <c r="C53" s="8">
        <f t="shared" si="78"/>
        <v>0.5</v>
      </c>
      <c r="D53" s="8">
        <f t="shared" si="78"/>
        <v>0.5000806581706726</v>
      </c>
      <c r="E53" s="8">
        <f t="shared" si="78"/>
        <v>0</v>
      </c>
      <c r="F53" s="8">
        <f t="shared" si="78"/>
        <v>-5.9523809523809521E-3</v>
      </c>
      <c r="G53" s="8">
        <f t="shared" si="78"/>
        <v>20.618556701030926</v>
      </c>
      <c r="H53" s="8">
        <f t="shared" si="78"/>
        <v>0.24796000000000001</v>
      </c>
      <c r="I53" s="8">
        <v>75000</v>
      </c>
      <c r="J53" s="8">
        <f t="shared" si="78"/>
        <v>0.28906275205678333</v>
      </c>
      <c r="K53" s="8">
        <f t="shared" si="78"/>
        <v>0</v>
      </c>
      <c r="L53" s="8">
        <f t="shared" si="78"/>
        <v>-5.6179775280898875E-3</v>
      </c>
      <c r="M53" s="8">
        <f t="shared" si="78"/>
        <v>20.618556701030926</v>
      </c>
      <c r="N53" s="8">
        <f t="shared" si="78"/>
        <v>0.17124309392265194</v>
      </c>
      <c r="O53" s="8">
        <v>225000</v>
      </c>
      <c r="P53" s="8">
        <f t="shared" si="78"/>
        <v>1</v>
      </c>
      <c r="Q53" s="8">
        <f t="shared" si="78"/>
        <v>2.9999999999999998E-14</v>
      </c>
      <c r="R53" s="8">
        <f t="shared" ref="R53:Y53" si="93">+R52</f>
        <v>0</v>
      </c>
      <c r="S53" s="8">
        <f t="shared" si="93"/>
        <v>10</v>
      </c>
      <c r="T53" s="8">
        <f t="shared" si="93"/>
        <v>2.67</v>
      </c>
      <c r="U53" s="8">
        <f t="shared" si="93"/>
        <v>20</v>
      </c>
      <c r="V53" s="8">
        <f t="shared" si="93"/>
        <v>25</v>
      </c>
      <c r="W53" s="8">
        <f t="shared" si="93"/>
        <v>40</v>
      </c>
      <c r="X53" s="8" t="str">
        <f t="shared" si="93"/>
        <v>N</v>
      </c>
      <c r="Y53" s="8" t="str">
        <f t="shared" si="93"/>
        <v>N</v>
      </c>
      <c r="Z53" s="11"/>
      <c r="AA53" s="11"/>
      <c r="AB53" s="11"/>
      <c r="AC53" s="11"/>
    </row>
    <row r="54" spans="1:29" x14ac:dyDescent="0.25">
      <c r="A54" s="7" t="str">
        <f t="shared" ref="A54" si="94">+A53</f>
        <v>1D, square, phase</v>
      </c>
      <c r="B54" s="8">
        <f t="shared" si="78"/>
        <v>0.2</v>
      </c>
      <c r="C54" s="8">
        <f t="shared" si="78"/>
        <v>0.5</v>
      </c>
      <c r="D54" s="8">
        <f t="shared" si="78"/>
        <v>0.5000806581706726</v>
      </c>
      <c r="E54" s="8">
        <f t="shared" si="78"/>
        <v>0</v>
      </c>
      <c r="F54" s="8">
        <f t="shared" si="78"/>
        <v>-5.9523809523809521E-3</v>
      </c>
      <c r="G54" s="8">
        <f t="shared" si="78"/>
        <v>20.618556701030926</v>
      </c>
      <c r="H54" s="8">
        <f t="shared" si="78"/>
        <v>0.24796000000000001</v>
      </c>
      <c r="I54" s="8">
        <v>76500</v>
      </c>
      <c r="J54" s="8">
        <f t="shared" si="78"/>
        <v>0.28906275205678333</v>
      </c>
      <c r="K54" s="8">
        <f t="shared" si="78"/>
        <v>0</v>
      </c>
      <c r="L54" s="8">
        <f t="shared" si="78"/>
        <v>-5.6179775280898875E-3</v>
      </c>
      <c r="M54" s="8">
        <f t="shared" si="78"/>
        <v>20.618556701030926</v>
      </c>
      <c r="N54" s="8">
        <f t="shared" si="78"/>
        <v>0.17124309392265194</v>
      </c>
      <c r="O54" s="8">
        <v>223500</v>
      </c>
      <c r="P54" s="8">
        <f t="shared" si="78"/>
        <v>1</v>
      </c>
      <c r="Q54" s="8">
        <f t="shared" si="78"/>
        <v>2.9999999999999998E-14</v>
      </c>
      <c r="R54" s="8">
        <f t="shared" ref="R54:Y54" si="95">+R53</f>
        <v>0</v>
      </c>
      <c r="S54" s="8">
        <f t="shared" si="95"/>
        <v>10</v>
      </c>
      <c r="T54" s="8">
        <f t="shared" si="95"/>
        <v>2.67</v>
      </c>
      <c r="U54" s="8">
        <f t="shared" si="95"/>
        <v>20</v>
      </c>
      <c r="V54" s="8">
        <f t="shared" si="95"/>
        <v>25</v>
      </c>
      <c r="W54" s="8">
        <f t="shared" si="95"/>
        <v>40</v>
      </c>
      <c r="X54" s="8" t="str">
        <f t="shared" si="95"/>
        <v>N</v>
      </c>
      <c r="Y54" s="8" t="str">
        <f t="shared" si="95"/>
        <v>N</v>
      </c>
      <c r="Z54" s="11"/>
      <c r="AA54" s="11"/>
      <c r="AB54" s="11"/>
      <c r="AC54" s="11"/>
    </row>
    <row r="55" spans="1:29" x14ac:dyDescent="0.25">
      <c r="A55" s="7" t="str">
        <f t="shared" ref="A55" si="96">+A54</f>
        <v>1D, square, phase</v>
      </c>
      <c r="B55" s="8">
        <f t="shared" si="78"/>
        <v>0.2</v>
      </c>
      <c r="C55" s="8">
        <f t="shared" si="78"/>
        <v>0.5</v>
      </c>
      <c r="D55" s="8">
        <f t="shared" si="78"/>
        <v>0.5000806581706726</v>
      </c>
      <c r="E55" s="8">
        <f t="shared" si="78"/>
        <v>0</v>
      </c>
      <c r="F55" s="8">
        <f t="shared" si="78"/>
        <v>-5.9523809523809521E-3</v>
      </c>
      <c r="G55" s="8">
        <f t="shared" si="78"/>
        <v>20.618556701030926</v>
      </c>
      <c r="H55" s="8">
        <f t="shared" si="78"/>
        <v>0.24796000000000001</v>
      </c>
      <c r="I55" s="8">
        <v>78000</v>
      </c>
      <c r="J55" s="8">
        <f t="shared" si="78"/>
        <v>0.28906275205678333</v>
      </c>
      <c r="K55" s="8">
        <f t="shared" si="78"/>
        <v>0</v>
      </c>
      <c r="L55" s="8">
        <f t="shared" si="78"/>
        <v>-5.6179775280898875E-3</v>
      </c>
      <c r="M55" s="8">
        <f t="shared" si="78"/>
        <v>20.618556701030926</v>
      </c>
      <c r="N55" s="8">
        <f t="shared" si="78"/>
        <v>0.17124309392265194</v>
      </c>
      <c r="O55" s="8">
        <v>222000</v>
      </c>
      <c r="P55" s="8">
        <f t="shared" si="78"/>
        <v>1</v>
      </c>
      <c r="Q55" s="8">
        <f t="shared" si="78"/>
        <v>2.9999999999999998E-14</v>
      </c>
      <c r="R55" s="8">
        <f t="shared" ref="R55:Y55" si="97">+R54</f>
        <v>0</v>
      </c>
      <c r="S55" s="8">
        <f t="shared" si="97"/>
        <v>10</v>
      </c>
      <c r="T55" s="8">
        <f t="shared" si="97"/>
        <v>2.67</v>
      </c>
      <c r="U55" s="8">
        <f t="shared" si="97"/>
        <v>20</v>
      </c>
      <c r="V55" s="8">
        <f t="shared" si="97"/>
        <v>25</v>
      </c>
      <c r="W55" s="8">
        <f t="shared" si="97"/>
        <v>40</v>
      </c>
      <c r="X55" s="8" t="str">
        <f t="shared" si="97"/>
        <v>N</v>
      </c>
      <c r="Y55" s="8" t="str">
        <f t="shared" si="97"/>
        <v>N</v>
      </c>
      <c r="Z55" s="11"/>
      <c r="AA55" s="11"/>
      <c r="AB55" s="11"/>
      <c r="AC55" s="11"/>
    </row>
    <row r="56" spans="1:29" x14ac:dyDescent="0.25">
      <c r="A56" s="7" t="str">
        <f t="shared" ref="A56" si="98">+A55</f>
        <v>1D, square, phase</v>
      </c>
      <c r="B56" s="8">
        <f t="shared" si="78"/>
        <v>0.2</v>
      </c>
      <c r="C56" s="8">
        <f t="shared" si="78"/>
        <v>0.5</v>
      </c>
      <c r="D56" s="8">
        <f t="shared" si="78"/>
        <v>0.5000806581706726</v>
      </c>
      <c r="E56" s="8">
        <f t="shared" si="78"/>
        <v>0</v>
      </c>
      <c r="F56" s="8">
        <f t="shared" si="78"/>
        <v>-5.9523809523809521E-3</v>
      </c>
      <c r="G56" s="8">
        <f t="shared" si="78"/>
        <v>20.618556701030926</v>
      </c>
      <c r="H56" s="8">
        <f t="shared" si="78"/>
        <v>0.24796000000000001</v>
      </c>
      <c r="I56" s="8">
        <v>79500</v>
      </c>
      <c r="J56" s="8">
        <f t="shared" si="78"/>
        <v>0.28906275205678333</v>
      </c>
      <c r="K56" s="8">
        <f t="shared" si="78"/>
        <v>0</v>
      </c>
      <c r="L56" s="8">
        <f t="shared" si="78"/>
        <v>-5.6179775280898875E-3</v>
      </c>
      <c r="M56" s="8">
        <f t="shared" si="78"/>
        <v>20.618556701030926</v>
      </c>
      <c r="N56" s="8">
        <f t="shared" si="78"/>
        <v>0.17124309392265194</v>
      </c>
      <c r="O56" s="8">
        <v>220500</v>
      </c>
      <c r="P56" s="8">
        <f t="shared" si="78"/>
        <v>1</v>
      </c>
      <c r="Q56" s="8">
        <f t="shared" si="78"/>
        <v>2.9999999999999998E-14</v>
      </c>
      <c r="R56" s="8">
        <f t="shared" ref="R56:Y56" si="99">+R55</f>
        <v>0</v>
      </c>
      <c r="S56" s="8">
        <f t="shared" si="99"/>
        <v>10</v>
      </c>
      <c r="T56" s="8">
        <f t="shared" si="99"/>
        <v>2.67</v>
      </c>
      <c r="U56" s="8">
        <f t="shared" si="99"/>
        <v>20</v>
      </c>
      <c r="V56" s="8">
        <f t="shared" si="99"/>
        <v>25</v>
      </c>
      <c r="W56" s="8">
        <f t="shared" si="99"/>
        <v>40</v>
      </c>
      <c r="X56" s="8" t="str">
        <f t="shared" si="99"/>
        <v>N</v>
      </c>
      <c r="Y56" s="8" t="str">
        <f t="shared" si="99"/>
        <v>N</v>
      </c>
      <c r="Z56" s="11"/>
      <c r="AA56" s="11"/>
      <c r="AB56" s="11"/>
      <c r="AC56" s="11"/>
    </row>
    <row r="57" spans="1:29" x14ac:dyDescent="0.25">
      <c r="A57" s="7" t="str">
        <f t="shared" ref="A57" si="100">+A56</f>
        <v>1D, square, phase</v>
      </c>
      <c r="B57" s="8">
        <f t="shared" si="78"/>
        <v>0.2</v>
      </c>
      <c r="C57" s="8">
        <f t="shared" si="78"/>
        <v>0.5</v>
      </c>
      <c r="D57" s="8">
        <f t="shared" si="78"/>
        <v>0.5000806581706726</v>
      </c>
      <c r="E57" s="8">
        <f t="shared" si="78"/>
        <v>0</v>
      </c>
      <c r="F57" s="8">
        <f t="shared" si="78"/>
        <v>-5.9523809523809521E-3</v>
      </c>
      <c r="G57" s="8">
        <f t="shared" si="78"/>
        <v>20.618556701030926</v>
      </c>
      <c r="H57" s="8">
        <f t="shared" si="78"/>
        <v>0.24796000000000001</v>
      </c>
      <c r="I57" s="8">
        <v>81000</v>
      </c>
      <c r="J57" s="8">
        <f t="shared" si="78"/>
        <v>0.28906275205678333</v>
      </c>
      <c r="K57" s="8">
        <f t="shared" si="78"/>
        <v>0</v>
      </c>
      <c r="L57" s="8">
        <f t="shared" si="78"/>
        <v>-5.6179775280898875E-3</v>
      </c>
      <c r="M57" s="8">
        <f t="shared" si="78"/>
        <v>20.618556701030926</v>
      </c>
      <c r="N57" s="8">
        <f t="shared" si="78"/>
        <v>0.17124309392265194</v>
      </c>
      <c r="O57" s="8">
        <v>219000</v>
      </c>
      <c r="P57" s="8">
        <f t="shared" si="78"/>
        <v>1</v>
      </c>
      <c r="Q57" s="8">
        <f t="shared" si="78"/>
        <v>2.9999999999999998E-14</v>
      </c>
      <c r="R57" s="8">
        <f t="shared" ref="R57:Y57" si="101">+R56</f>
        <v>0</v>
      </c>
      <c r="S57" s="8">
        <f t="shared" si="101"/>
        <v>10</v>
      </c>
      <c r="T57" s="8">
        <f t="shared" si="101"/>
        <v>2.67</v>
      </c>
      <c r="U57" s="8">
        <f t="shared" si="101"/>
        <v>20</v>
      </c>
      <c r="V57" s="8">
        <f t="shared" si="101"/>
        <v>25</v>
      </c>
      <c r="W57" s="8">
        <f t="shared" si="101"/>
        <v>40</v>
      </c>
      <c r="X57" s="8" t="str">
        <f t="shared" si="101"/>
        <v>N</v>
      </c>
      <c r="Y57" s="8" t="str">
        <f t="shared" si="101"/>
        <v>N</v>
      </c>
      <c r="Z57" s="11"/>
      <c r="AA57" s="11"/>
      <c r="AB57" s="11"/>
      <c r="AC57" s="11"/>
    </row>
    <row r="58" spans="1:29" x14ac:dyDescent="0.25">
      <c r="A58" s="7" t="str">
        <f t="shared" ref="A58" si="102">+A57</f>
        <v>1D, square, phase</v>
      </c>
      <c r="B58" s="8">
        <f t="shared" si="78"/>
        <v>0.2</v>
      </c>
      <c r="C58" s="8">
        <f t="shared" si="78"/>
        <v>0.5</v>
      </c>
      <c r="D58" s="8">
        <f t="shared" si="78"/>
        <v>0.5000806581706726</v>
      </c>
      <c r="E58" s="8">
        <f t="shared" si="78"/>
        <v>0</v>
      </c>
      <c r="F58" s="8">
        <f t="shared" si="78"/>
        <v>-5.9523809523809521E-3</v>
      </c>
      <c r="G58" s="8">
        <f t="shared" si="78"/>
        <v>20.618556701030926</v>
      </c>
      <c r="H58" s="8">
        <f t="shared" si="78"/>
        <v>0.24796000000000001</v>
      </c>
      <c r="I58" s="8">
        <v>82500</v>
      </c>
      <c r="J58" s="8">
        <f t="shared" si="78"/>
        <v>0.28906275205678333</v>
      </c>
      <c r="K58" s="8">
        <f t="shared" si="78"/>
        <v>0</v>
      </c>
      <c r="L58" s="8">
        <f t="shared" si="78"/>
        <v>-5.6179775280898875E-3</v>
      </c>
      <c r="M58" s="8">
        <f t="shared" si="78"/>
        <v>20.618556701030926</v>
      </c>
      <c r="N58" s="8">
        <f t="shared" si="78"/>
        <v>0.17124309392265194</v>
      </c>
      <c r="O58" s="8">
        <v>217500</v>
      </c>
      <c r="P58" s="8">
        <f t="shared" si="78"/>
        <v>1</v>
      </c>
      <c r="Q58" s="8">
        <f t="shared" si="78"/>
        <v>2.9999999999999998E-14</v>
      </c>
      <c r="R58" s="8">
        <f t="shared" ref="R58:Y58" si="103">+R57</f>
        <v>0</v>
      </c>
      <c r="S58" s="8">
        <f t="shared" si="103"/>
        <v>10</v>
      </c>
      <c r="T58" s="8">
        <f t="shared" si="103"/>
        <v>2.67</v>
      </c>
      <c r="U58" s="8">
        <f t="shared" si="103"/>
        <v>20</v>
      </c>
      <c r="V58" s="8">
        <f t="shared" si="103"/>
        <v>25</v>
      </c>
      <c r="W58" s="8">
        <f t="shared" si="103"/>
        <v>40</v>
      </c>
      <c r="X58" s="8" t="str">
        <f t="shared" si="103"/>
        <v>N</v>
      </c>
      <c r="Y58" s="8" t="str">
        <f t="shared" si="103"/>
        <v>N</v>
      </c>
      <c r="Z58" s="11"/>
      <c r="AA58" s="11"/>
      <c r="AB58" s="11"/>
      <c r="AC58" s="11"/>
    </row>
    <row r="59" spans="1:29" x14ac:dyDescent="0.25">
      <c r="A59" s="7" t="str">
        <f t="shared" ref="A59" si="104">+A58</f>
        <v>1D, square, phase</v>
      </c>
      <c r="B59" s="8">
        <f t="shared" si="78"/>
        <v>0.2</v>
      </c>
      <c r="C59" s="8">
        <f t="shared" si="78"/>
        <v>0.5</v>
      </c>
      <c r="D59" s="8">
        <f t="shared" si="78"/>
        <v>0.5000806581706726</v>
      </c>
      <c r="E59" s="8">
        <f t="shared" si="78"/>
        <v>0</v>
      </c>
      <c r="F59" s="8">
        <f t="shared" si="78"/>
        <v>-5.9523809523809521E-3</v>
      </c>
      <c r="G59" s="8">
        <f t="shared" si="78"/>
        <v>20.618556701030926</v>
      </c>
      <c r="H59" s="8">
        <f t="shared" si="78"/>
        <v>0.24796000000000001</v>
      </c>
      <c r="I59" s="8">
        <v>84000</v>
      </c>
      <c r="J59" s="8">
        <f t="shared" si="78"/>
        <v>0.28906275205678333</v>
      </c>
      <c r="K59" s="8">
        <f t="shared" si="78"/>
        <v>0</v>
      </c>
      <c r="L59" s="8">
        <f t="shared" si="78"/>
        <v>-5.6179775280898875E-3</v>
      </c>
      <c r="M59" s="8">
        <f t="shared" si="78"/>
        <v>20.618556701030926</v>
      </c>
      <c r="N59" s="8">
        <f t="shared" si="78"/>
        <v>0.17124309392265194</v>
      </c>
      <c r="O59" s="8">
        <v>216000</v>
      </c>
      <c r="P59" s="8">
        <f t="shared" si="78"/>
        <v>1</v>
      </c>
      <c r="Q59" s="8">
        <f t="shared" si="78"/>
        <v>2.9999999999999998E-14</v>
      </c>
      <c r="R59" s="8">
        <f t="shared" ref="R59:Y59" si="105">+R58</f>
        <v>0</v>
      </c>
      <c r="S59" s="8">
        <f t="shared" si="105"/>
        <v>10</v>
      </c>
      <c r="T59" s="8">
        <f t="shared" si="105"/>
        <v>2.67</v>
      </c>
      <c r="U59" s="8">
        <f t="shared" si="105"/>
        <v>20</v>
      </c>
      <c r="V59" s="8">
        <f t="shared" si="105"/>
        <v>25</v>
      </c>
      <c r="W59" s="8">
        <f t="shared" si="105"/>
        <v>40</v>
      </c>
      <c r="X59" s="8" t="str">
        <f t="shared" si="105"/>
        <v>N</v>
      </c>
      <c r="Y59" s="8" t="str">
        <f t="shared" si="105"/>
        <v>N</v>
      </c>
      <c r="Z59" s="11"/>
      <c r="AA59" s="11"/>
      <c r="AB59" s="11"/>
      <c r="AC59" s="11"/>
    </row>
    <row r="60" spans="1:29" x14ac:dyDescent="0.25">
      <c r="A60" s="7" t="str">
        <f t="shared" ref="A60" si="106">+A59</f>
        <v>1D, square, phase</v>
      </c>
      <c r="B60" s="8">
        <f t="shared" si="78"/>
        <v>0.2</v>
      </c>
      <c r="C60" s="8">
        <f t="shared" si="78"/>
        <v>0.5</v>
      </c>
      <c r="D60" s="8">
        <f t="shared" si="78"/>
        <v>0.5000806581706726</v>
      </c>
      <c r="E60" s="8">
        <f t="shared" si="78"/>
        <v>0</v>
      </c>
      <c r="F60" s="8">
        <f t="shared" si="78"/>
        <v>-5.9523809523809521E-3</v>
      </c>
      <c r="G60" s="8">
        <f t="shared" si="78"/>
        <v>20.618556701030926</v>
      </c>
      <c r="H60" s="8">
        <f t="shared" si="78"/>
        <v>0.24796000000000001</v>
      </c>
      <c r="I60" s="8">
        <v>85499.999999999971</v>
      </c>
      <c r="J60" s="8">
        <f t="shared" si="78"/>
        <v>0.28906275205678333</v>
      </c>
      <c r="K60" s="8">
        <f t="shared" si="78"/>
        <v>0</v>
      </c>
      <c r="L60" s="8">
        <f t="shared" si="78"/>
        <v>-5.6179775280898875E-3</v>
      </c>
      <c r="M60" s="8">
        <f t="shared" si="78"/>
        <v>20.618556701030926</v>
      </c>
      <c r="N60" s="8">
        <f t="shared" si="78"/>
        <v>0.17124309392265194</v>
      </c>
      <c r="O60" s="8">
        <v>214500.00000000003</v>
      </c>
      <c r="P60" s="8">
        <f t="shared" si="78"/>
        <v>1</v>
      </c>
      <c r="Q60" s="8">
        <f t="shared" si="78"/>
        <v>2.9999999999999998E-14</v>
      </c>
      <c r="R60" s="8">
        <f t="shared" ref="R60:Y60" si="107">+R59</f>
        <v>0</v>
      </c>
      <c r="S60" s="8">
        <f t="shared" si="107"/>
        <v>10</v>
      </c>
      <c r="T60" s="8">
        <f t="shared" si="107"/>
        <v>2.67</v>
      </c>
      <c r="U60" s="8">
        <f t="shared" si="107"/>
        <v>20</v>
      </c>
      <c r="V60" s="8">
        <f t="shared" si="107"/>
        <v>25</v>
      </c>
      <c r="W60" s="8">
        <f t="shared" si="107"/>
        <v>40</v>
      </c>
      <c r="X60" s="8" t="str">
        <f t="shared" si="107"/>
        <v>N</v>
      </c>
      <c r="Y60" s="8" t="str">
        <f t="shared" si="107"/>
        <v>N</v>
      </c>
      <c r="Z60" s="11"/>
      <c r="AA60" s="11"/>
      <c r="AB60" s="11"/>
      <c r="AC60" s="11"/>
    </row>
    <row r="61" spans="1:29" x14ac:dyDescent="0.25">
      <c r="A61" s="7" t="str">
        <f t="shared" ref="A61" si="108">+A60</f>
        <v>1D, square, phase</v>
      </c>
      <c r="B61" s="8">
        <f t="shared" si="78"/>
        <v>0.2</v>
      </c>
      <c r="C61" s="8">
        <f t="shared" si="78"/>
        <v>0.5</v>
      </c>
      <c r="D61" s="8">
        <f t="shared" si="78"/>
        <v>0.5000806581706726</v>
      </c>
      <c r="E61" s="8">
        <f t="shared" si="78"/>
        <v>0</v>
      </c>
      <c r="F61" s="8">
        <f t="shared" si="78"/>
        <v>-5.9523809523809521E-3</v>
      </c>
      <c r="G61" s="8">
        <f t="shared" si="78"/>
        <v>20.618556701030926</v>
      </c>
      <c r="H61" s="8">
        <f t="shared" si="78"/>
        <v>0.24796000000000001</v>
      </c>
      <c r="I61" s="8">
        <v>87000</v>
      </c>
      <c r="J61" s="8">
        <f t="shared" si="78"/>
        <v>0.28906275205678333</v>
      </c>
      <c r="K61" s="8">
        <f t="shared" si="78"/>
        <v>0</v>
      </c>
      <c r="L61" s="8">
        <f t="shared" si="78"/>
        <v>-5.6179775280898875E-3</v>
      </c>
      <c r="M61" s="8">
        <f t="shared" si="78"/>
        <v>20.618556701030926</v>
      </c>
      <c r="N61" s="8">
        <f t="shared" si="78"/>
        <v>0.17124309392265194</v>
      </c>
      <c r="O61" s="8">
        <v>213000</v>
      </c>
      <c r="P61" s="8">
        <f t="shared" si="78"/>
        <v>1</v>
      </c>
      <c r="Q61" s="8">
        <f t="shared" ref="Q61:Y61" si="109">+Q60</f>
        <v>2.9999999999999998E-14</v>
      </c>
      <c r="R61" s="8">
        <f t="shared" si="109"/>
        <v>0</v>
      </c>
      <c r="S61" s="8">
        <f t="shared" si="109"/>
        <v>10</v>
      </c>
      <c r="T61" s="8">
        <f t="shared" si="109"/>
        <v>2.67</v>
      </c>
      <c r="U61" s="8">
        <f t="shared" si="109"/>
        <v>20</v>
      </c>
      <c r="V61" s="8">
        <f t="shared" si="109"/>
        <v>25</v>
      </c>
      <c r="W61" s="8">
        <f t="shared" si="109"/>
        <v>40</v>
      </c>
      <c r="X61" s="8" t="str">
        <f t="shared" si="109"/>
        <v>N</v>
      </c>
      <c r="Y61" s="8" t="str">
        <f t="shared" si="109"/>
        <v>N</v>
      </c>
      <c r="Z61" s="11"/>
      <c r="AA61" s="11"/>
      <c r="AB61" s="11"/>
      <c r="AC61" s="11"/>
    </row>
    <row r="62" spans="1:29" x14ac:dyDescent="0.25">
      <c r="A62" s="7" t="str">
        <f t="shared" ref="A62" si="110">+A61</f>
        <v>1D, square, phase</v>
      </c>
      <c r="B62" s="8">
        <f t="shared" ref="B62:Q77" si="111">+B61</f>
        <v>0.2</v>
      </c>
      <c r="C62" s="8">
        <f t="shared" si="111"/>
        <v>0.5</v>
      </c>
      <c r="D62" s="8">
        <f t="shared" si="111"/>
        <v>0.5000806581706726</v>
      </c>
      <c r="E62" s="8">
        <f t="shared" si="111"/>
        <v>0</v>
      </c>
      <c r="F62" s="8">
        <f t="shared" si="111"/>
        <v>-5.9523809523809521E-3</v>
      </c>
      <c r="G62" s="8">
        <f t="shared" si="111"/>
        <v>20.618556701030926</v>
      </c>
      <c r="H62" s="8">
        <f t="shared" si="111"/>
        <v>0.24796000000000001</v>
      </c>
      <c r="I62" s="8">
        <v>88499.999999999971</v>
      </c>
      <c r="J62" s="8">
        <f t="shared" si="111"/>
        <v>0.28906275205678333</v>
      </c>
      <c r="K62" s="8">
        <f t="shared" si="111"/>
        <v>0</v>
      </c>
      <c r="L62" s="8">
        <f t="shared" si="111"/>
        <v>-5.6179775280898875E-3</v>
      </c>
      <c r="M62" s="8">
        <f t="shared" si="111"/>
        <v>20.618556701030926</v>
      </c>
      <c r="N62" s="8">
        <f t="shared" si="111"/>
        <v>0.17124309392265194</v>
      </c>
      <c r="O62" s="8">
        <v>211500.00000000003</v>
      </c>
      <c r="P62" s="8">
        <f t="shared" si="111"/>
        <v>1</v>
      </c>
      <c r="Q62" s="8">
        <f t="shared" si="111"/>
        <v>2.9999999999999998E-14</v>
      </c>
      <c r="R62" s="8">
        <f t="shared" ref="R62:Y62" si="112">+R61</f>
        <v>0</v>
      </c>
      <c r="S62" s="8">
        <f t="shared" si="112"/>
        <v>10</v>
      </c>
      <c r="T62" s="8">
        <f t="shared" si="112"/>
        <v>2.67</v>
      </c>
      <c r="U62" s="8">
        <f t="shared" si="112"/>
        <v>20</v>
      </c>
      <c r="V62" s="8">
        <f t="shared" si="112"/>
        <v>25</v>
      </c>
      <c r="W62" s="8">
        <f t="shared" si="112"/>
        <v>40</v>
      </c>
      <c r="X62" s="8" t="str">
        <f t="shared" si="112"/>
        <v>N</v>
      </c>
      <c r="Y62" s="8" t="str">
        <f t="shared" si="112"/>
        <v>N</v>
      </c>
      <c r="Z62" s="11"/>
      <c r="AA62" s="11"/>
      <c r="AB62" s="11"/>
      <c r="AC62" s="11"/>
    </row>
    <row r="63" spans="1:29" x14ac:dyDescent="0.25">
      <c r="A63" s="7" t="str">
        <f t="shared" ref="A63" si="113">+A62</f>
        <v>1D, square, phase</v>
      </c>
      <c r="B63" s="8">
        <f t="shared" si="111"/>
        <v>0.2</v>
      </c>
      <c r="C63" s="8">
        <f t="shared" si="111"/>
        <v>0.5</v>
      </c>
      <c r="D63" s="8">
        <f t="shared" si="111"/>
        <v>0.5000806581706726</v>
      </c>
      <c r="E63" s="8">
        <f t="shared" si="111"/>
        <v>0</v>
      </c>
      <c r="F63" s="8">
        <f t="shared" si="111"/>
        <v>-5.9523809523809521E-3</v>
      </c>
      <c r="G63" s="8">
        <f t="shared" si="111"/>
        <v>20.618556701030926</v>
      </c>
      <c r="H63" s="8">
        <f t="shared" si="111"/>
        <v>0.24796000000000001</v>
      </c>
      <c r="I63" s="8">
        <v>90000</v>
      </c>
      <c r="J63" s="8">
        <f t="shared" si="111"/>
        <v>0.28906275205678333</v>
      </c>
      <c r="K63" s="8">
        <f t="shared" si="111"/>
        <v>0</v>
      </c>
      <c r="L63" s="8">
        <f t="shared" si="111"/>
        <v>-5.6179775280898875E-3</v>
      </c>
      <c r="M63" s="8">
        <f t="shared" si="111"/>
        <v>20.618556701030926</v>
      </c>
      <c r="N63" s="8">
        <f t="shared" si="111"/>
        <v>0.17124309392265194</v>
      </c>
      <c r="O63" s="8">
        <v>210000</v>
      </c>
      <c r="P63" s="8">
        <f t="shared" si="111"/>
        <v>1</v>
      </c>
      <c r="Q63" s="8">
        <f t="shared" si="111"/>
        <v>2.9999999999999998E-14</v>
      </c>
      <c r="R63" s="8">
        <f t="shared" ref="R63:Y63" si="114">+R62</f>
        <v>0</v>
      </c>
      <c r="S63" s="8">
        <f t="shared" si="114"/>
        <v>10</v>
      </c>
      <c r="T63" s="8">
        <f t="shared" si="114"/>
        <v>2.67</v>
      </c>
      <c r="U63" s="8">
        <f t="shared" si="114"/>
        <v>20</v>
      </c>
      <c r="V63" s="8">
        <f t="shared" si="114"/>
        <v>25</v>
      </c>
      <c r="W63" s="8">
        <f t="shared" si="114"/>
        <v>40</v>
      </c>
      <c r="X63" s="8" t="str">
        <f t="shared" si="114"/>
        <v>N</v>
      </c>
      <c r="Y63" s="8" t="str">
        <f t="shared" si="114"/>
        <v>N</v>
      </c>
      <c r="Z63" s="11"/>
      <c r="AA63" s="11"/>
      <c r="AB63" s="11"/>
      <c r="AC63" s="11"/>
    </row>
    <row r="64" spans="1:29" x14ac:dyDescent="0.25">
      <c r="A64" s="7" t="str">
        <f t="shared" ref="A64" si="115">+A63</f>
        <v>1D, square, phase</v>
      </c>
      <c r="B64" s="8">
        <f t="shared" si="111"/>
        <v>0.2</v>
      </c>
      <c r="C64" s="8">
        <f t="shared" si="111"/>
        <v>0.5</v>
      </c>
      <c r="D64" s="8">
        <f t="shared" si="111"/>
        <v>0.5000806581706726</v>
      </c>
      <c r="E64" s="8">
        <f t="shared" si="111"/>
        <v>0</v>
      </c>
      <c r="F64" s="8">
        <f t="shared" si="111"/>
        <v>-5.9523809523809521E-3</v>
      </c>
      <c r="G64" s="8">
        <f t="shared" si="111"/>
        <v>20.618556701030926</v>
      </c>
      <c r="H64" s="8">
        <f t="shared" si="111"/>
        <v>0.24796000000000001</v>
      </c>
      <c r="I64" s="8">
        <v>91499.999999999971</v>
      </c>
      <c r="J64" s="8">
        <f t="shared" si="111"/>
        <v>0.28906275205678333</v>
      </c>
      <c r="K64" s="8">
        <f t="shared" si="111"/>
        <v>0</v>
      </c>
      <c r="L64" s="8">
        <f t="shared" si="111"/>
        <v>-5.6179775280898875E-3</v>
      </c>
      <c r="M64" s="8">
        <f t="shared" si="111"/>
        <v>20.618556701030926</v>
      </c>
      <c r="N64" s="8">
        <f t="shared" si="111"/>
        <v>0.17124309392265194</v>
      </c>
      <c r="O64" s="8">
        <v>208500.00000000003</v>
      </c>
      <c r="P64" s="8">
        <f t="shared" si="111"/>
        <v>1</v>
      </c>
      <c r="Q64" s="8">
        <f t="shared" si="111"/>
        <v>2.9999999999999998E-14</v>
      </c>
      <c r="R64" s="8">
        <f t="shared" ref="R64:Y64" si="116">+R63</f>
        <v>0</v>
      </c>
      <c r="S64" s="8">
        <f t="shared" si="116"/>
        <v>10</v>
      </c>
      <c r="T64" s="8">
        <f t="shared" si="116"/>
        <v>2.67</v>
      </c>
      <c r="U64" s="8">
        <f t="shared" si="116"/>
        <v>20</v>
      </c>
      <c r="V64" s="8">
        <f t="shared" si="116"/>
        <v>25</v>
      </c>
      <c r="W64" s="8">
        <f t="shared" si="116"/>
        <v>40</v>
      </c>
      <c r="X64" s="8" t="str">
        <f t="shared" si="116"/>
        <v>N</v>
      </c>
      <c r="Y64" s="8" t="str">
        <f t="shared" si="116"/>
        <v>N</v>
      </c>
      <c r="Z64" s="11"/>
      <c r="AA64" s="11"/>
      <c r="AB64" s="11"/>
      <c r="AC64" s="11"/>
    </row>
    <row r="65" spans="1:29" x14ac:dyDescent="0.25">
      <c r="A65" s="7" t="str">
        <f t="shared" ref="A65" si="117">+A64</f>
        <v>1D, square, phase</v>
      </c>
      <c r="B65" s="8">
        <f t="shared" si="111"/>
        <v>0.2</v>
      </c>
      <c r="C65" s="8">
        <f t="shared" si="111"/>
        <v>0.5</v>
      </c>
      <c r="D65" s="8">
        <f t="shared" si="111"/>
        <v>0.5000806581706726</v>
      </c>
      <c r="E65" s="8">
        <f t="shared" si="111"/>
        <v>0</v>
      </c>
      <c r="F65" s="8">
        <f t="shared" si="111"/>
        <v>-5.9523809523809521E-3</v>
      </c>
      <c r="G65" s="8">
        <f t="shared" si="111"/>
        <v>20.618556701030926</v>
      </c>
      <c r="H65" s="8">
        <f t="shared" si="111"/>
        <v>0.24796000000000001</v>
      </c>
      <c r="I65" s="8">
        <v>93000.000000000029</v>
      </c>
      <c r="J65" s="8">
        <f t="shared" si="111"/>
        <v>0.28906275205678333</v>
      </c>
      <c r="K65" s="8">
        <f t="shared" si="111"/>
        <v>0</v>
      </c>
      <c r="L65" s="8">
        <f t="shared" si="111"/>
        <v>-5.6179775280898875E-3</v>
      </c>
      <c r="M65" s="8">
        <f t="shared" si="111"/>
        <v>20.618556701030926</v>
      </c>
      <c r="N65" s="8">
        <f t="shared" si="111"/>
        <v>0.17124309392265194</v>
      </c>
      <c r="O65" s="8">
        <v>206999.99999999997</v>
      </c>
      <c r="P65" s="8">
        <f t="shared" si="111"/>
        <v>1</v>
      </c>
      <c r="Q65" s="8">
        <f t="shared" si="111"/>
        <v>2.9999999999999998E-14</v>
      </c>
      <c r="R65" s="8">
        <f t="shared" ref="R65:Y65" si="118">+R64</f>
        <v>0</v>
      </c>
      <c r="S65" s="8">
        <f t="shared" si="118"/>
        <v>10</v>
      </c>
      <c r="T65" s="8">
        <f t="shared" si="118"/>
        <v>2.67</v>
      </c>
      <c r="U65" s="8">
        <f t="shared" si="118"/>
        <v>20</v>
      </c>
      <c r="V65" s="8">
        <f t="shared" si="118"/>
        <v>25</v>
      </c>
      <c r="W65" s="8">
        <f t="shared" si="118"/>
        <v>40</v>
      </c>
      <c r="X65" s="8" t="str">
        <f t="shared" si="118"/>
        <v>N</v>
      </c>
      <c r="Y65" s="8" t="str">
        <f t="shared" si="118"/>
        <v>N</v>
      </c>
      <c r="Z65" s="11"/>
      <c r="AA65" s="11"/>
      <c r="AB65" s="11"/>
      <c r="AC65" s="11"/>
    </row>
    <row r="66" spans="1:29" x14ac:dyDescent="0.25">
      <c r="A66" s="7" t="str">
        <f t="shared" ref="A66" si="119">+A65</f>
        <v>1D, square, phase</v>
      </c>
      <c r="B66" s="8">
        <f t="shared" si="111"/>
        <v>0.2</v>
      </c>
      <c r="C66" s="8">
        <f t="shared" si="111"/>
        <v>0.5</v>
      </c>
      <c r="D66" s="8">
        <f t="shared" si="111"/>
        <v>0.5000806581706726</v>
      </c>
      <c r="E66" s="8">
        <f t="shared" si="111"/>
        <v>0</v>
      </c>
      <c r="F66" s="8">
        <f t="shared" si="111"/>
        <v>-5.9523809523809521E-3</v>
      </c>
      <c r="G66" s="8">
        <f t="shared" si="111"/>
        <v>20.618556701030926</v>
      </c>
      <c r="H66" s="8">
        <f t="shared" si="111"/>
        <v>0.24796000000000001</v>
      </c>
      <c r="I66" s="8">
        <v>94499.999999999971</v>
      </c>
      <c r="J66" s="8">
        <f t="shared" si="111"/>
        <v>0.28906275205678333</v>
      </c>
      <c r="K66" s="8">
        <f t="shared" si="111"/>
        <v>0</v>
      </c>
      <c r="L66" s="8">
        <f t="shared" si="111"/>
        <v>-5.6179775280898875E-3</v>
      </c>
      <c r="M66" s="8">
        <f t="shared" si="111"/>
        <v>20.618556701030926</v>
      </c>
      <c r="N66" s="8">
        <f t="shared" si="111"/>
        <v>0.17124309392265194</v>
      </c>
      <c r="O66" s="8">
        <v>205500.00000000003</v>
      </c>
      <c r="P66" s="8">
        <f t="shared" si="111"/>
        <v>1</v>
      </c>
      <c r="Q66" s="8">
        <f t="shared" si="111"/>
        <v>2.9999999999999998E-14</v>
      </c>
      <c r="R66" s="8">
        <f t="shared" ref="R66:Y66" si="120">+R65</f>
        <v>0</v>
      </c>
      <c r="S66" s="8">
        <f t="shared" si="120"/>
        <v>10</v>
      </c>
      <c r="T66" s="8">
        <f t="shared" si="120"/>
        <v>2.67</v>
      </c>
      <c r="U66" s="8">
        <f t="shared" si="120"/>
        <v>20</v>
      </c>
      <c r="V66" s="8">
        <f t="shared" si="120"/>
        <v>25</v>
      </c>
      <c r="W66" s="8">
        <f t="shared" si="120"/>
        <v>40</v>
      </c>
      <c r="X66" s="8" t="str">
        <f t="shared" si="120"/>
        <v>N</v>
      </c>
      <c r="Y66" s="8" t="str">
        <f t="shared" si="120"/>
        <v>N</v>
      </c>
      <c r="Z66" s="11"/>
      <c r="AA66" s="11"/>
      <c r="AB66" s="11"/>
      <c r="AC66" s="11"/>
    </row>
    <row r="67" spans="1:29" x14ac:dyDescent="0.25">
      <c r="A67" s="7" t="str">
        <f t="shared" ref="A67" si="121">+A66</f>
        <v>1D, square, phase</v>
      </c>
      <c r="B67" s="8">
        <f t="shared" si="111"/>
        <v>0.2</v>
      </c>
      <c r="C67" s="8">
        <f t="shared" si="111"/>
        <v>0.5</v>
      </c>
      <c r="D67" s="8">
        <f t="shared" si="111"/>
        <v>0.5000806581706726</v>
      </c>
      <c r="E67" s="8">
        <f t="shared" si="111"/>
        <v>0</v>
      </c>
      <c r="F67" s="8">
        <f t="shared" si="111"/>
        <v>-5.9523809523809521E-3</v>
      </c>
      <c r="G67" s="8">
        <f t="shared" si="111"/>
        <v>20.618556701030926</v>
      </c>
      <c r="H67" s="8">
        <f t="shared" si="111"/>
        <v>0.24796000000000001</v>
      </c>
      <c r="I67" s="8">
        <v>96000.000000000029</v>
      </c>
      <c r="J67" s="8">
        <f t="shared" si="111"/>
        <v>0.28906275205678333</v>
      </c>
      <c r="K67" s="8">
        <f t="shared" si="111"/>
        <v>0</v>
      </c>
      <c r="L67" s="8">
        <f t="shared" si="111"/>
        <v>-5.6179775280898875E-3</v>
      </c>
      <c r="M67" s="8">
        <f t="shared" si="111"/>
        <v>20.618556701030926</v>
      </c>
      <c r="N67" s="8">
        <f t="shared" si="111"/>
        <v>0.17124309392265194</v>
      </c>
      <c r="O67" s="8">
        <v>203999.99999999997</v>
      </c>
      <c r="P67" s="8">
        <f t="shared" si="111"/>
        <v>1</v>
      </c>
      <c r="Q67" s="8">
        <f t="shared" si="111"/>
        <v>2.9999999999999998E-14</v>
      </c>
      <c r="R67" s="8">
        <f t="shared" ref="R67:Y67" si="122">+R66</f>
        <v>0</v>
      </c>
      <c r="S67" s="8">
        <f t="shared" si="122"/>
        <v>10</v>
      </c>
      <c r="T67" s="8">
        <f t="shared" si="122"/>
        <v>2.67</v>
      </c>
      <c r="U67" s="8">
        <f t="shared" si="122"/>
        <v>20</v>
      </c>
      <c r="V67" s="8">
        <f t="shared" si="122"/>
        <v>25</v>
      </c>
      <c r="W67" s="8">
        <f t="shared" si="122"/>
        <v>40</v>
      </c>
      <c r="X67" s="8" t="str">
        <f t="shared" si="122"/>
        <v>N</v>
      </c>
      <c r="Y67" s="8" t="str">
        <f t="shared" si="122"/>
        <v>N</v>
      </c>
      <c r="Z67" s="11"/>
      <c r="AA67" s="11"/>
      <c r="AB67" s="11"/>
      <c r="AC67" s="11"/>
    </row>
    <row r="68" spans="1:29" x14ac:dyDescent="0.25">
      <c r="A68" s="7" t="str">
        <f t="shared" ref="A68" si="123">+A67</f>
        <v>1D, square, phase</v>
      </c>
      <c r="B68" s="8">
        <f t="shared" si="111"/>
        <v>0.2</v>
      </c>
      <c r="C68" s="8">
        <f t="shared" si="111"/>
        <v>0.5</v>
      </c>
      <c r="D68" s="8">
        <f t="shared" si="111"/>
        <v>0.5000806581706726</v>
      </c>
      <c r="E68" s="8">
        <f t="shared" si="111"/>
        <v>0</v>
      </c>
      <c r="F68" s="8">
        <f t="shared" si="111"/>
        <v>-5.9523809523809521E-3</v>
      </c>
      <c r="G68" s="8">
        <f t="shared" si="111"/>
        <v>20.618556701030926</v>
      </c>
      <c r="H68" s="8">
        <f t="shared" si="111"/>
        <v>0.24796000000000001</v>
      </c>
      <c r="I68" s="8">
        <v>97500</v>
      </c>
      <c r="J68" s="8">
        <f t="shared" si="111"/>
        <v>0.28906275205678333</v>
      </c>
      <c r="K68" s="8">
        <f t="shared" si="111"/>
        <v>0</v>
      </c>
      <c r="L68" s="8">
        <f t="shared" si="111"/>
        <v>-5.6179775280898875E-3</v>
      </c>
      <c r="M68" s="8">
        <f t="shared" si="111"/>
        <v>20.618556701030926</v>
      </c>
      <c r="N68" s="8">
        <f t="shared" si="111"/>
        <v>0.17124309392265194</v>
      </c>
      <c r="O68" s="8">
        <v>202500</v>
      </c>
      <c r="P68" s="8">
        <f t="shared" si="111"/>
        <v>1</v>
      </c>
      <c r="Q68" s="8">
        <f t="shared" si="111"/>
        <v>2.9999999999999998E-14</v>
      </c>
      <c r="R68" s="8">
        <f t="shared" ref="R68:Y68" si="124">+R67</f>
        <v>0</v>
      </c>
      <c r="S68" s="8">
        <f t="shared" si="124"/>
        <v>10</v>
      </c>
      <c r="T68" s="8">
        <f t="shared" si="124"/>
        <v>2.67</v>
      </c>
      <c r="U68" s="8">
        <f t="shared" si="124"/>
        <v>20</v>
      </c>
      <c r="V68" s="8">
        <f t="shared" si="124"/>
        <v>25</v>
      </c>
      <c r="W68" s="8">
        <f t="shared" si="124"/>
        <v>40</v>
      </c>
      <c r="X68" s="8" t="str">
        <f t="shared" si="124"/>
        <v>N</v>
      </c>
      <c r="Y68" s="8" t="str">
        <f t="shared" si="124"/>
        <v>N</v>
      </c>
      <c r="Z68" s="11"/>
      <c r="AA68" s="11"/>
      <c r="AB68" s="11"/>
      <c r="AC68" s="11"/>
    </row>
    <row r="69" spans="1:29" x14ac:dyDescent="0.25">
      <c r="A69" s="7" t="str">
        <f t="shared" ref="A69" si="125">+A68</f>
        <v>1D, square, phase</v>
      </c>
      <c r="B69" s="8">
        <f t="shared" si="111"/>
        <v>0.2</v>
      </c>
      <c r="C69" s="8">
        <f t="shared" si="111"/>
        <v>0.5</v>
      </c>
      <c r="D69" s="8">
        <f t="shared" si="111"/>
        <v>0.5000806581706726</v>
      </c>
      <c r="E69" s="8">
        <f t="shared" si="111"/>
        <v>0</v>
      </c>
      <c r="F69" s="8">
        <f t="shared" si="111"/>
        <v>-5.9523809523809521E-3</v>
      </c>
      <c r="G69" s="8">
        <f t="shared" si="111"/>
        <v>20.618556701030926</v>
      </c>
      <c r="H69" s="8">
        <f t="shared" si="111"/>
        <v>0.24796000000000001</v>
      </c>
      <c r="I69" s="8">
        <v>99000.000000000029</v>
      </c>
      <c r="J69" s="8">
        <f t="shared" si="111"/>
        <v>0.28906275205678333</v>
      </c>
      <c r="K69" s="8">
        <f t="shared" si="111"/>
        <v>0</v>
      </c>
      <c r="L69" s="8">
        <f t="shared" si="111"/>
        <v>-5.6179775280898875E-3</v>
      </c>
      <c r="M69" s="8">
        <f t="shared" si="111"/>
        <v>20.618556701030926</v>
      </c>
      <c r="N69" s="8">
        <f t="shared" si="111"/>
        <v>0.17124309392265194</v>
      </c>
      <c r="O69" s="8">
        <v>200999.99999999997</v>
      </c>
      <c r="P69" s="8">
        <f t="shared" si="111"/>
        <v>1</v>
      </c>
      <c r="Q69" s="8">
        <f t="shared" si="111"/>
        <v>2.9999999999999998E-14</v>
      </c>
      <c r="R69" s="8">
        <f t="shared" ref="R69:Y69" si="126">+R68</f>
        <v>0</v>
      </c>
      <c r="S69" s="8">
        <f t="shared" si="126"/>
        <v>10</v>
      </c>
      <c r="T69" s="8">
        <f t="shared" si="126"/>
        <v>2.67</v>
      </c>
      <c r="U69" s="8">
        <f t="shared" si="126"/>
        <v>20</v>
      </c>
      <c r="V69" s="8">
        <f t="shared" si="126"/>
        <v>25</v>
      </c>
      <c r="W69" s="8">
        <f t="shared" si="126"/>
        <v>40</v>
      </c>
      <c r="X69" s="8" t="str">
        <f t="shared" si="126"/>
        <v>N</v>
      </c>
      <c r="Y69" s="8" t="str">
        <f t="shared" si="126"/>
        <v>N</v>
      </c>
      <c r="Z69" s="11"/>
      <c r="AA69" s="11"/>
      <c r="AB69" s="11"/>
      <c r="AC69" s="11"/>
    </row>
    <row r="70" spans="1:29" x14ac:dyDescent="0.25">
      <c r="A70" s="7" t="str">
        <f t="shared" ref="A70" si="127">+A69</f>
        <v>1D, square, phase</v>
      </c>
      <c r="B70" s="8">
        <f t="shared" si="111"/>
        <v>0.2</v>
      </c>
      <c r="C70" s="8">
        <f t="shared" si="111"/>
        <v>0.5</v>
      </c>
      <c r="D70" s="8">
        <f t="shared" si="111"/>
        <v>0.5000806581706726</v>
      </c>
      <c r="E70" s="8">
        <f t="shared" si="111"/>
        <v>0</v>
      </c>
      <c r="F70" s="8">
        <f t="shared" si="111"/>
        <v>-5.9523809523809521E-3</v>
      </c>
      <c r="G70" s="8">
        <f t="shared" si="111"/>
        <v>20.618556701030926</v>
      </c>
      <c r="H70" s="8">
        <f t="shared" si="111"/>
        <v>0.24796000000000001</v>
      </c>
      <c r="I70" s="8">
        <v>100500</v>
      </c>
      <c r="J70" s="8">
        <f t="shared" si="111"/>
        <v>0.28906275205678333</v>
      </c>
      <c r="K70" s="8">
        <f t="shared" si="111"/>
        <v>0</v>
      </c>
      <c r="L70" s="8">
        <f t="shared" si="111"/>
        <v>-5.6179775280898875E-3</v>
      </c>
      <c r="M70" s="8">
        <f t="shared" si="111"/>
        <v>20.618556701030926</v>
      </c>
      <c r="N70" s="8">
        <f t="shared" si="111"/>
        <v>0.17124309392265194</v>
      </c>
      <c r="O70" s="8">
        <v>199500</v>
      </c>
      <c r="P70" s="8">
        <f t="shared" si="111"/>
        <v>1</v>
      </c>
      <c r="Q70" s="8">
        <f t="shared" si="111"/>
        <v>2.9999999999999998E-14</v>
      </c>
      <c r="R70" s="8">
        <f t="shared" ref="R70:Y70" si="128">+R69</f>
        <v>0</v>
      </c>
      <c r="S70" s="8">
        <f t="shared" si="128"/>
        <v>10</v>
      </c>
      <c r="T70" s="8">
        <f t="shared" si="128"/>
        <v>2.67</v>
      </c>
      <c r="U70" s="8">
        <f t="shared" si="128"/>
        <v>20</v>
      </c>
      <c r="V70" s="8">
        <f t="shared" si="128"/>
        <v>25</v>
      </c>
      <c r="W70" s="8">
        <f t="shared" si="128"/>
        <v>40</v>
      </c>
      <c r="X70" s="8" t="str">
        <f t="shared" si="128"/>
        <v>N</v>
      </c>
      <c r="Y70" s="8" t="str">
        <f t="shared" si="128"/>
        <v>N</v>
      </c>
      <c r="Z70" s="11"/>
      <c r="AA70" s="11"/>
      <c r="AB70" s="11"/>
      <c r="AC70" s="11"/>
    </row>
    <row r="71" spans="1:29" x14ac:dyDescent="0.25">
      <c r="A71" s="7" t="str">
        <f t="shared" ref="A71" si="129">+A70</f>
        <v>1D, square, phase</v>
      </c>
      <c r="B71" s="8">
        <f t="shared" si="111"/>
        <v>0.2</v>
      </c>
      <c r="C71" s="8">
        <f t="shared" si="111"/>
        <v>0.5</v>
      </c>
      <c r="D71" s="8">
        <f t="shared" si="111"/>
        <v>0.5000806581706726</v>
      </c>
      <c r="E71" s="8">
        <f t="shared" si="111"/>
        <v>0</v>
      </c>
      <c r="F71" s="8">
        <f t="shared" si="111"/>
        <v>-5.9523809523809521E-3</v>
      </c>
      <c r="G71" s="8">
        <f t="shared" si="111"/>
        <v>20.618556701030926</v>
      </c>
      <c r="H71" s="8">
        <f t="shared" si="111"/>
        <v>0.24796000000000001</v>
      </c>
      <c r="I71" s="8">
        <v>102000.00000000003</v>
      </c>
      <c r="J71" s="8">
        <f t="shared" si="111"/>
        <v>0.28906275205678333</v>
      </c>
      <c r="K71" s="8">
        <f t="shared" si="111"/>
        <v>0</v>
      </c>
      <c r="L71" s="8">
        <f t="shared" si="111"/>
        <v>-5.6179775280898875E-3</v>
      </c>
      <c r="M71" s="8">
        <f t="shared" si="111"/>
        <v>20.618556701030926</v>
      </c>
      <c r="N71" s="8">
        <f t="shared" si="111"/>
        <v>0.17124309392265194</v>
      </c>
      <c r="O71" s="8">
        <v>197999.99999999997</v>
      </c>
      <c r="P71" s="8">
        <f t="shared" si="111"/>
        <v>1</v>
      </c>
      <c r="Q71" s="8">
        <f t="shared" si="111"/>
        <v>2.9999999999999998E-14</v>
      </c>
      <c r="R71" s="8">
        <f t="shared" ref="R71:Y71" si="130">+R70</f>
        <v>0</v>
      </c>
      <c r="S71" s="8">
        <f t="shared" si="130"/>
        <v>10</v>
      </c>
      <c r="T71" s="8">
        <f t="shared" si="130"/>
        <v>2.67</v>
      </c>
      <c r="U71" s="8">
        <f t="shared" si="130"/>
        <v>20</v>
      </c>
      <c r="V71" s="8">
        <f t="shared" si="130"/>
        <v>25</v>
      </c>
      <c r="W71" s="8">
        <f t="shared" si="130"/>
        <v>40</v>
      </c>
      <c r="X71" s="8" t="str">
        <f t="shared" si="130"/>
        <v>N</v>
      </c>
      <c r="Y71" s="8" t="str">
        <f t="shared" si="130"/>
        <v>N</v>
      </c>
      <c r="Z71" s="11"/>
      <c r="AA71" s="11"/>
      <c r="AB71" s="11"/>
      <c r="AC71" s="11"/>
    </row>
    <row r="72" spans="1:29" x14ac:dyDescent="0.25">
      <c r="A72" s="7" t="str">
        <f t="shared" ref="A72" si="131">+A71</f>
        <v>1D, square, phase</v>
      </c>
      <c r="B72" s="8">
        <f t="shared" si="111"/>
        <v>0.2</v>
      </c>
      <c r="C72" s="8">
        <f t="shared" si="111"/>
        <v>0.5</v>
      </c>
      <c r="D72" s="8">
        <f t="shared" si="111"/>
        <v>0.5000806581706726</v>
      </c>
      <c r="E72" s="8">
        <f t="shared" si="111"/>
        <v>0</v>
      </c>
      <c r="F72" s="8">
        <f t="shared" si="111"/>
        <v>-5.9523809523809521E-3</v>
      </c>
      <c r="G72" s="8">
        <f t="shared" si="111"/>
        <v>20.618556701030926</v>
      </c>
      <c r="H72" s="8">
        <f t="shared" si="111"/>
        <v>0.24796000000000001</v>
      </c>
      <c r="I72" s="8">
        <v>103500</v>
      </c>
      <c r="J72" s="8">
        <f t="shared" si="111"/>
        <v>0.28906275205678333</v>
      </c>
      <c r="K72" s="8">
        <f t="shared" si="111"/>
        <v>0</v>
      </c>
      <c r="L72" s="8">
        <f t="shared" si="111"/>
        <v>-5.6179775280898875E-3</v>
      </c>
      <c r="M72" s="8">
        <f t="shared" si="111"/>
        <v>20.618556701030926</v>
      </c>
      <c r="N72" s="8">
        <f t="shared" si="111"/>
        <v>0.17124309392265194</v>
      </c>
      <c r="O72" s="8">
        <v>196500</v>
      </c>
      <c r="P72" s="8">
        <f t="shared" si="111"/>
        <v>1</v>
      </c>
      <c r="Q72" s="8">
        <f t="shared" si="111"/>
        <v>2.9999999999999998E-14</v>
      </c>
      <c r="R72" s="8">
        <f t="shared" ref="R72:Y72" si="132">+R71</f>
        <v>0</v>
      </c>
      <c r="S72" s="8">
        <f t="shared" si="132"/>
        <v>10</v>
      </c>
      <c r="T72" s="8">
        <f t="shared" si="132"/>
        <v>2.67</v>
      </c>
      <c r="U72" s="8">
        <f t="shared" si="132"/>
        <v>20</v>
      </c>
      <c r="V72" s="8">
        <f t="shared" si="132"/>
        <v>25</v>
      </c>
      <c r="W72" s="8">
        <f t="shared" si="132"/>
        <v>40</v>
      </c>
      <c r="X72" s="8" t="str">
        <f t="shared" si="132"/>
        <v>N</v>
      </c>
      <c r="Y72" s="8" t="str">
        <f t="shared" si="132"/>
        <v>N</v>
      </c>
      <c r="Z72" s="11"/>
      <c r="AA72" s="11"/>
      <c r="AB72" s="11"/>
      <c r="AC72" s="11"/>
    </row>
    <row r="73" spans="1:29" x14ac:dyDescent="0.25">
      <c r="A73" s="7" t="str">
        <f t="shared" ref="A73" si="133">+A72</f>
        <v>1D, square, phase</v>
      </c>
      <c r="B73" s="8">
        <f t="shared" si="111"/>
        <v>0.2</v>
      </c>
      <c r="C73" s="8">
        <f t="shared" si="111"/>
        <v>0.5</v>
      </c>
      <c r="D73" s="8">
        <f t="shared" si="111"/>
        <v>0.5000806581706726</v>
      </c>
      <c r="E73" s="8">
        <f t="shared" si="111"/>
        <v>0</v>
      </c>
      <c r="F73" s="8">
        <f t="shared" si="111"/>
        <v>-5.9523809523809521E-3</v>
      </c>
      <c r="G73" s="8">
        <f t="shared" si="111"/>
        <v>20.618556701030926</v>
      </c>
      <c r="H73" s="8">
        <f t="shared" si="111"/>
        <v>0.24796000000000001</v>
      </c>
      <c r="I73" s="8">
        <v>105000</v>
      </c>
      <c r="J73" s="8">
        <f t="shared" si="111"/>
        <v>0.28906275205678333</v>
      </c>
      <c r="K73" s="8">
        <f t="shared" si="111"/>
        <v>0</v>
      </c>
      <c r="L73" s="8">
        <f t="shared" si="111"/>
        <v>-5.6179775280898875E-3</v>
      </c>
      <c r="M73" s="8">
        <f t="shared" si="111"/>
        <v>20.618556701030926</v>
      </c>
      <c r="N73" s="8">
        <f t="shared" si="111"/>
        <v>0.17124309392265194</v>
      </c>
      <c r="O73" s="8">
        <v>195000</v>
      </c>
      <c r="P73" s="8">
        <f t="shared" si="111"/>
        <v>1</v>
      </c>
      <c r="Q73" s="8">
        <f t="shared" si="111"/>
        <v>2.9999999999999998E-14</v>
      </c>
      <c r="R73" s="8">
        <f t="shared" ref="R73:Y73" si="134">+R72</f>
        <v>0</v>
      </c>
      <c r="S73" s="8">
        <f t="shared" si="134"/>
        <v>10</v>
      </c>
      <c r="T73" s="8">
        <f t="shared" si="134"/>
        <v>2.67</v>
      </c>
      <c r="U73" s="8">
        <f t="shared" si="134"/>
        <v>20</v>
      </c>
      <c r="V73" s="8">
        <f t="shared" si="134"/>
        <v>25</v>
      </c>
      <c r="W73" s="8">
        <f t="shared" si="134"/>
        <v>40</v>
      </c>
      <c r="X73" s="8" t="str">
        <f t="shared" si="134"/>
        <v>N</v>
      </c>
      <c r="Y73" s="8" t="str">
        <f t="shared" si="134"/>
        <v>N</v>
      </c>
      <c r="Z73" s="11"/>
      <c r="AA73" s="11"/>
      <c r="AB73" s="11"/>
      <c r="AC73" s="11"/>
    </row>
    <row r="74" spans="1:29" x14ac:dyDescent="0.25">
      <c r="A74" s="7" t="str">
        <f t="shared" ref="A74" si="135">+A73</f>
        <v>1D, square, phase</v>
      </c>
      <c r="B74" s="8">
        <f t="shared" si="111"/>
        <v>0.2</v>
      </c>
      <c r="C74" s="8">
        <f t="shared" si="111"/>
        <v>0.5</v>
      </c>
      <c r="D74" s="8">
        <f t="shared" si="111"/>
        <v>0.5000806581706726</v>
      </c>
      <c r="E74" s="8">
        <f t="shared" si="111"/>
        <v>0</v>
      </c>
      <c r="F74" s="8">
        <f t="shared" si="111"/>
        <v>-5.9523809523809521E-3</v>
      </c>
      <c r="G74" s="8">
        <f t="shared" si="111"/>
        <v>20.618556701030926</v>
      </c>
      <c r="H74" s="8">
        <f t="shared" si="111"/>
        <v>0.24796000000000001</v>
      </c>
      <c r="I74" s="8">
        <v>106500</v>
      </c>
      <c r="J74" s="8">
        <f t="shared" si="111"/>
        <v>0.28906275205678333</v>
      </c>
      <c r="K74" s="8">
        <f t="shared" si="111"/>
        <v>0</v>
      </c>
      <c r="L74" s="8">
        <f t="shared" si="111"/>
        <v>-5.6179775280898875E-3</v>
      </c>
      <c r="M74" s="8">
        <f t="shared" si="111"/>
        <v>20.618556701030926</v>
      </c>
      <c r="N74" s="8">
        <f t="shared" si="111"/>
        <v>0.17124309392265194</v>
      </c>
      <c r="O74" s="8">
        <v>193500</v>
      </c>
      <c r="P74" s="8">
        <f t="shared" si="111"/>
        <v>1</v>
      </c>
      <c r="Q74" s="8">
        <f t="shared" si="111"/>
        <v>2.9999999999999998E-14</v>
      </c>
      <c r="R74" s="8">
        <f t="shared" ref="R74:Y74" si="136">+R73</f>
        <v>0</v>
      </c>
      <c r="S74" s="8">
        <f t="shared" si="136"/>
        <v>10</v>
      </c>
      <c r="T74" s="8">
        <f t="shared" si="136"/>
        <v>2.67</v>
      </c>
      <c r="U74" s="8">
        <f t="shared" si="136"/>
        <v>20</v>
      </c>
      <c r="V74" s="8">
        <f t="shared" si="136"/>
        <v>25</v>
      </c>
      <c r="W74" s="8">
        <f t="shared" si="136"/>
        <v>40</v>
      </c>
      <c r="X74" s="8" t="str">
        <f t="shared" si="136"/>
        <v>N</v>
      </c>
      <c r="Y74" s="8" t="str">
        <f t="shared" si="136"/>
        <v>N</v>
      </c>
      <c r="Z74" s="11"/>
      <c r="AA74" s="11"/>
      <c r="AB74" s="11"/>
      <c r="AC74" s="11"/>
    </row>
    <row r="75" spans="1:29" x14ac:dyDescent="0.25">
      <c r="A75" s="7" t="str">
        <f t="shared" ref="A75" si="137">+A74</f>
        <v>1D, square, phase</v>
      </c>
      <c r="B75" s="8">
        <f t="shared" si="111"/>
        <v>0.2</v>
      </c>
      <c r="C75" s="8">
        <f t="shared" si="111"/>
        <v>0.5</v>
      </c>
      <c r="D75" s="8">
        <f t="shared" si="111"/>
        <v>0.5000806581706726</v>
      </c>
      <c r="E75" s="8">
        <f t="shared" si="111"/>
        <v>0</v>
      </c>
      <c r="F75" s="8">
        <f t="shared" si="111"/>
        <v>-5.9523809523809521E-3</v>
      </c>
      <c r="G75" s="8">
        <f t="shared" si="111"/>
        <v>20.618556701030926</v>
      </c>
      <c r="H75" s="8">
        <f t="shared" si="111"/>
        <v>0.24796000000000001</v>
      </c>
      <c r="I75" s="8">
        <v>108000</v>
      </c>
      <c r="J75" s="8">
        <f t="shared" si="111"/>
        <v>0.28906275205678333</v>
      </c>
      <c r="K75" s="8">
        <f t="shared" si="111"/>
        <v>0</v>
      </c>
      <c r="L75" s="8">
        <f t="shared" si="111"/>
        <v>-5.6179775280898875E-3</v>
      </c>
      <c r="M75" s="8">
        <f t="shared" si="111"/>
        <v>20.618556701030926</v>
      </c>
      <c r="N75" s="8">
        <f t="shared" si="111"/>
        <v>0.17124309392265194</v>
      </c>
      <c r="O75" s="8">
        <v>192000</v>
      </c>
      <c r="P75" s="8">
        <f t="shared" si="111"/>
        <v>1</v>
      </c>
      <c r="Q75" s="8">
        <f t="shared" si="111"/>
        <v>2.9999999999999998E-14</v>
      </c>
      <c r="R75" s="8">
        <f t="shared" ref="R75:Y75" si="138">+R74</f>
        <v>0</v>
      </c>
      <c r="S75" s="8">
        <f t="shared" si="138"/>
        <v>10</v>
      </c>
      <c r="T75" s="8">
        <f t="shared" si="138"/>
        <v>2.67</v>
      </c>
      <c r="U75" s="8">
        <f t="shared" si="138"/>
        <v>20</v>
      </c>
      <c r="V75" s="8">
        <f t="shared" si="138"/>
        <v>25</v>
      </c>
      <c r="W75" s="8">
        <f t="shared" si="138"/>
        <v>40</v>
      </c>
      <c r="X75" s="8" t="str">
        <f t="shared" si="138"/>
        <v>N</v>
      </c>
      <c r="Y75" s="8" t="str">
        <f t="shared" si="138"/>
        <v>N</v>
      </c>
      <c r="Z75" s="11"/>
      <c r="AA75" s="11"/>
      <c r="AB75" s="11"/>
      <c r="AC75" s="11"/>
    </row>
    <row r="76" spans="1:29" x14ac:dyDescent="0.25">
      <c r="A76" s="7" t="str">
        <f t="shared" ref="A76" si="139">+A75</f>
        <v>1D, square, phase</v>
      </c>
      <c r="B76" s="8">
        <f t="shared" si="111"/>
        <v>0.2</v>
      </c>
      <c r="C76" s="8">
        <f t="shared" si="111"/>
        <v>0.5</v>
      </c>
      <c r="D76" s="8">
        <f t="shared" si="111"/>
        <v>0.5000806581706726</v>
      </c>
      <c r="E76" s="8">
        <f t="shared" si="111"/>
        <v>0</v>
      </c>
      <c r="F76" s="8">
        <f t="shared" si="111"/>
        <v>-5.9523809523809521E-3</v>
      </c>
      <c r="G76" s="8">
        <f t="shared" si="111"/>
        <v>20.618556701030926</v>
      </c>
      <c r="H76" s="8">
        <f t="shared" si="111"/>
        <v>0.24796000000000001</v>
      </c>
      <c r="I76" s="8">
        <v>109500</v>
      </c>
      <c r="J76" s="8">
        <f t="shared" si="111"/>
        <v>0.28906275205678333</v>
      </c>
      <c r="K76" s="8">
        <f t="shared" si="111"/>
        <v>0</v>
      </c>
      <c r="L76" s="8">
        <f t="shared" si="111"/>
        <v>-5.6179775280898875E-3</v>
      </c>
      <c r="M76" s="8">
        <f t="shared" si="111"/>
        <v>20.618556701030926</v>
      </c>
      <c r="N76" s="8">
        <f t="shared" si="111"/>
        <v>0.17124309392265194</v>
      </c>
      <c r="O76" s="8">
        <v>190500</v>
      </c>
      <c r="P76" s="8">
        <f t="shared" si="111"/>
        <v>1</v>
      </c>
      <c r="Q76" s="8">
        <f t="shared" si="111"/>
        <v>2.9999999999999998E-14</v>
      </c>
      <c r="R76" s="8">
        <f t="shared" ref="R76:Y76" si="140">+R75</f>
        <v>0</v>
      </c>
      <c r="S76" s="8">
        <f t="shared" si="140"/>
        <v>10</v>
      </c>
      <c r="T76" s="8">
        <f t="shared" si="140"/>
        <v>2.67</v>
      </c>
      <c r="U76" s="8">
        <f t="shared" si="140"/>
        <v>20</v>
      </c>
      <c r="V76" s="8">
        <f t="shared" si="140"/>
        <v>25</v>
      </c>
      <c r="W76" s="8">
        <f t="shared" si="140"/>
        <v>40</v>
      </c>
      <c r="X76" s="8" t="str">
        <f t="shared" si="140"/>
        <v>N</v>
      </c>
      <c r="Y76" s="8" t="str">
        <f t="shared" si="140"/>
        <v>N</v>
      </c>
      <c r="Z76" s="11"/>
      <c r="AA76" s="11"/>
      <c r="AB76" s="11"/>
      <c r="AC76" s="11"/>
    </row>
    <row r="77" spans="1:29" x14ac:dyDescent="0.25">
      <c r="A77" s="7" t="str">
        <f t="shared" ref="A77" si="141">+A76</f>
        <v>1D, square, phase</v>
      </c>
      <c r="B77" s="8">
        <f t="shared" si="111"/>
        <v>0.2</v>
      </c>
      <c r="C77" s="8">
        <f t="shared" si="111"/>
        <v>0.5</v>
      </c>
      <c r="D77" s="8">
        <f t="shared" si="111"/>
        <v>0.5000806581706726</v>
      </c>
      <c r="E77" s="8">
        <f t="shared" si="111"/>
        <v>0</v>
      </c>
      <c r="F77" s="8">
        <f t="shared" si="111"/>
        <v>-5.9523809523809521E-3</v>
      </c>
      <c r="G77" s="8">
        <f t="shared" si="111"/>
        <v>20.618556701030926</v>
      </c>
      <c r="H77" s="8">
        <f t="shared" si="111"/>
        <v>0.24796000000000001</v>
      </c>
      <c r="I77" s="8">
        <v>111000</v>
      </c>
      <c r="J77" s="8">
        <f t="shared" si="111"/>
        <v>0.28906275205678333</v>
      </c>
      <c r="K77" s="8">
        <f t="shared" si="111"/>
        <v>0</v>
      </c>
      <c r="L77" s="8">
        <f t="shared" si="111"/>
        <v>-5.6179775280898875E-3</v>
      </c>
      <c r="M77" s="8">
        <f t="shared" si="111"/>
        <v>20.618556701030926</v>
      </c>
      <c r="N77" s="8">
        <f t="shared" si="111"/>
        <v>0.17124309392265194</v>
      </c>
      <c r="O77" s="8">
        <v>189000</v>
      </c>
      <c r="P77" s="8">
        <f t="shared" si="111"/>
        <v>1</v>
      </c>
      <c r="Q77" s="8">
        <f t="shared" ref="Q77:Y77" si="142">+Q76</f>
        <v>2.9999999999999998E-14</v>
      </c>
      <c r="R77" s="8">
        <f t="shared" si="142"/>
        <v>0</v>
      </c>
      <c r="S77" s="8">
        <f t="shared" si="142"/>
        <v>10</v>
      </c>
      <c r="T77" s="8">
        <f t="shared" si="142"/>
        <v>2.67</v>
      </c>
      <c r="U77" s="8">
        <f t="shared" si="142"/>
        <v>20</v>
      </c>
      <c r="V77" s="8">
        <f t="shared" si="142"/>
        <v>25</v>
      </c>
      <c r="W77" s="8">
        <f t="shared" si="142"/>
        <v>40</v>
      </c>
      <c r="X77" s="8" t="str">
        <f t="shared" si="142"/>
        <v>N</v>
      </c>
      <c r="Y77" s="8" t="str">
        <f t="shared" si="142"/>
        <v>N</v>
      </c>
      <c r="Z77" s="11"/>
      <c r="AA77" s="11"/>
      <c r="AB77" s="11"/>
      <c r="AC77" s="11"/>
    </row>
    <row r="78" spans="1:29" x14ac:dyDescent="0.25">
      <c r="A78" s="7" t="str">
        <f t="shared" ref="A78" si="143">+A77</f>
        <v>1D, square, phase</v>
      </c>
      <c r="B78" s="8">
        <f t="shared" ref="B78:Q93" si="144">+B77</f>
        <v>0.2</v>
      </c>
      <c r="C78" s="8">
        <f t="shared" si="144"/>
        <v>0.5</v>
      </c>
      <c r="D78" s="8">
        <f t="shared" si="144"/>
        <v>0.5000806581706726</v>
      </c>
      <c r="E78" s="8">
        <f t="shared" si="144"/>
        <v>0</v>
      </c>
      <c r="F78" s="8">
        <f t="shared" si="144"/>
        <v>-5.9523809523809521E-3</v>
      </c>
      <c r="G78" s="8">
        <f t="shared" si="144"/>
        <v>20.618556701030926</v>
      </c>
      <c r="H78" s="8">
        <f t="shared" si="144"/>
        <v>0.24796000000000001</v>
      </c>
      <c r="I78" s="8">
        <v>112500</v>
      </c>
      <c r="J78" s="8">
        <f t="shared" si="144"/>
        <v>0.28906275205678333</v>
      </c>
      <c r="K78" s="8">
        <f t="shared" si="144"/>
        <v>0</v>
      </c>
      <c r="L78" s="8">
        <f t="shared" si="144"/>
        <v>-5.6179775280898875E-3</v>
      </c>
      <c r="M78" s="8">
        <f t="shared" si="144"/>
        <v>20.618556701030926</v>
      </c>
      <c r="N78" s="8">
        <f t="shared" si="144"/>
        <v>0.17124309392265194</v>
      </c>
      <c r="O78" s="8">
        <v>187500</v>
      </c>
      <c r="P78" s="8">
        <f t="shared" si="144"/>
        <v>1</v>
      </c>
      <c r="Q78" s="8">
        <f t="shared" si="144"/>
        <v>2.9999999999999998E-14</v>
      </c>
      <c r="R78" s="8">
        <f t="shared" ref="R78:Y78" si="145">+R77</f>
        <v>0</v>
      </c>
      <c r="S78" s="8">
        <f t="shared" si="145"/>
        <v>10</v>
      </c>
      <c r="T78" s="8">
        <f t="shared" si="145"/>
        <v>2.67</v>
      </c>
      <c r="U78" s="8">
        <f t="shared" si="145"/>
        <v>20</v>
      </c>
      <c r="V78" s="8">
        <f t="shared" si="145"/>
        <v>25</v>
      </c>
      <c r="W78" s="8">
        <f t="shared" si="145"/>
        <v>40</v>
      </c>
      <c r="X78" s="8" t="str">
        <f t="shared" si="145"/>
        <v>N</v>
      </c>
      <c r="Y78" s="8" t="str">
        <f t="shared" si="145"/>
        <v>N</v>
      </c>
      <c r="Z78" s="11"/>
      <c r="AA78" s="11"/>
      <c r="AB78" s="11"/>
      <c r="AC78" s="11"/>
    </row>
    <row r="79" spans="1:29" x14ac:dyDescent="0.25">
      <c r="A79" s="7" t="str">
        <f t="shared" ref="A79" si="146">+A78</f>
        <v>1D, square, phase</v>
      </c>
      <c r="B79" s="8">
        <f t="shared" si="144"/>
        <v>0.2</v>
      </c>
      <c r="C79" s="8">
        <f t="shared" si="144"/>
        <v>0.5</v>
      </c>
      <c r="D79" s="8">
        <f t="shared" si="144"/>
        <v>0.5000806581706726</v>
      </c>
      <c r="E79" s="8">
        <f t="shared" si="144"/>
        <v>0</v>
      </c>
      <c r="F79" s="8">
        <f t="shared" si="144"/>
        <v>-5.9523809523809521E-3</v>
      </c>
      <c r="G79" s="8">
        <f t="shared" si="144"/>
        <v>20.618556701030926</v>
      </c>
      <c r="H79" s="8">
        <f t="shared" si="144"/>
        <v>0.24796000000000001</v>
      </c>
      <c r="I79" s="8">
        <v>114000</v>
      </c>
      <c r="J79" s="8">
        <f t="shared" si="144"/>
        <v>0.28906275205678333</v>
      </c>
      <c r="K79" s="8">
        <f t="shared" si="144"/>
        <v>0</v>
      </c>
      <c r="L79" s="8">
        <f t="shared" si="144"/>
        <v>-5.6179775280898875E-3</v>
      </c>
      <c r="M79" s="8">
        <f t="shared" si="144"/>
        <v>20.618556701030926</v>
      </c>
      <c r="N79" s="8">
        <f t="shared" si="144"/>
        <v>0.17124309392265194</v>
      </c>
      <c r="O79" s="8">
        <v>186000</v>
      </c>
      <c r="P79" s="8">
        <f t="shared" si="144"/>
        <v>1</v>
      </c>
      <c r="Q79" s="8">
        <f t="shared" si="144"/>
        <v>2.9999999999999998E-14</v>
      </c>
      <c r="R79" s="8">
        <f t="shared" ref="R79:Y79" si="147">+R78</f>
        <v>0</v>
      </c>
      <c r="S79" s="8">
        <f t="shared" si="147"/>
        <v>10</v>
      </c>
      <c r="T79" s="8">
        <f t="shared" si="147"/>
        <v>2.67</v>
      </c>
      <c r="U79" s="8">
        <f t="shared" si="147"/>
        <v>20</v>
      </c>
      <c r="V79" s="8">
        <f t="shared" si="147"/>
        <v>25</v>
      </c>
      <c r="W79" s="8">
        <f t="shared" si="147"/>
        <v>40</v>
      </c>
      <c r="X79" s="8" t="str">
        <f t="shared" si="147"/>
        <v>N</v>
      </c>
      <c r="Y79" s="8" t="str">
        <f t="shared" si="147"/>
        <v>N</v>
      </c>
      <c r="Z79" s="11"/>
      <c r="AA79" s="11"/>
      <c r="AB79" s="11"/>
      <c r="AC79" s="11"/>
    </row>
    <row r="80" spans="1:29" x14ac:dyDescent="0.25">
      <c r="A80" s="7" t="str">
        <f t="shared" ref="A80" si="148">+A79</f>
        <v>1D, square, phase</v>
      </c>
      <c r="B80" s="8">
        <f t="shared" si="144"/>
        <v>0.2</v>
      </c>
      <c r="C80" s="8">
        <f t="shared" si="144"/>
        <v>0.5</v>
      </c>
      <c r="D80" s="8">
        <f t="shared" si="144"/>
        <v>0.5000806581706726</v>
      </c>
      <c r="E80" s="8">
        <f t="shared" si="144"/>
        <v>0</v>
      </c>
      <c r="F80" s="8">
        <f t="shared" si="144"/>
        <v>-5.9523809523809521E-3</v>
      </c>
      <c r="G80" s="8">
        <f t="shared" si="144"/>
        <v>20.618556701030926</v>
      </c>
      <c r="H80" s="8">
        <f t="shared" si="144"/>
        <v>0.24796000000000001</v>
      </c>
      <c r="I80" s="8">
        <v>115500</v>
      </c>
      <c r="J80" s="8">
        <f t="shared" si="144"/>
        <v>0.28906275205678333</v>
      </c>
      <c r="K80" s="8">
        <f t="shared" si="144"/>
        <v>0</v>
      </c>
      <c r="L80" s="8">
        <f t="shared" si="144"/>
        <v>-5.6179775280898875E-3</v>
      </c>
      <c r="M80" s="8">
        <f t="shared" si="144"/>
        <v>20.618556701030926</v>
      </c>
      <c r="N80" s="8">
        <f t="shared" si="144"/>
        <v>0.17124309392265194</v>
      </c>
      <c r="O80" s="8">
        <v>184500</v>
      </c>
      <c r="P80" s="8">
        <f t="shared" si="144"/>
        <v>1</v>
      </c>
      <c r="Q80" s="8">
        <f t="shared" si="144"/>
        <v>2.9999999999999998E-14</v>
      </c>
      <c r="R80" s="8">
        <f t="shared" ref="R80:Y80" si="149">+R79</f>
        <v>0</v>
      </c>
      <c r="S80" s="8">
        <f t="shared" si="149"/>
        <v>10</v>
      </c>
      <c r="T80" s="8">
        <f t="shared" si="149"/>
        <v>2.67</v>
      </c>
      <c r="U80" s="8">
        <f t="shared" si="149"/>
        <v>20</v>
      </c>
      <c r="V80" s="8">
        <f t="shared" si="149"/>
        <v>25</v>
      </c>
      <c r="W80" s="8">
        <f t="shared" si="149"/>
        <v>40</v>
      </c>
      <c r="X80" s="8" t="str">
        <f t="shared" si="149"/>
        <v>N</v>
      </c>
      <c r="Y80" s="8" t="str">
        <f t="shared" si="149"/>
        <v>N</v>
      </c>
      <c r="Z80" s="11"/>
      <c r="AA80" s="11"/>
      <c r="AB80" s="11"/>
      <c r="AC80" s="11"/>
    </row>
    <row r="81" spans="1:29" x14ac:dyDescent="0.25">
      <c r="A81" s="7" t="str">
        <f t="shared" ref="A81" si="150">+A80</f>
        <v>1D, square, phase</v>
      </c>
      <c r="B81" s="8">
        <f t="shared" si="144"/>
        <v>0.2</v>
      </c>
      <c r="C81" s="8">
        <f t="shared" si="144"/>
        <v>0.5</v>
      </c>
      <c r="D81" s="8">
        <f t="shared" si="144"/>
        <v>0.5000806581706726</v>
      </c>
      <c r="E81" s="8">
        <f t="shared" si="144"/>
        <v>0</v>
      </c>
      <c r="F81" s="8">
        <f t="shared" si="144"/>
        <v>-5.9523809523809521E-3</v>
      </c>
      <c r="G81" s="8">
        <f t="shared" si="144"/>
        <v>20.618556701030926</v>
      </c>
      <c r="H81" s="8">
        <f t="shared" si="144"/>
        <v>0.24796000000000001</v>
      </c>
      <c r="I81" s="8">
        <v>117000</v>
      </c>
      <c r="J81" s="8">
        <f t="shared" si="144"/>
        <v>0.28906275205678333</v>
      </c>
      <c r="K81" s="8">
        <f t="shared" si="144"/>
        <v>0</v>
      </c>
      <c r="L81" s="8">
        <f t="shared" si="144"/>
        <v>-5.6179775280898875E-3</v>
      </c>
      <c r="M81" s="8">
        <f t="shared" si="144"/>
        <v>20.618556701030926</v>
      </c>
      <c r="N81" s="8">
        <f t="shared" si="144"/>
        <v>0.17124309392265194</v>
      </c>
      <c r="O81" s="8">
        <v>183000</v>
      </c>
      <c r="P81" s="8">
        <f t="shared" si="144"/>
        <v>1</v>
      </c>
      <c r="Q81" s="8">
        <f t="shared" si="144"/>
        <v>2.9999999999999998E-14</v>
      </c>
      <c r="R81" s="8">
        <f t="shared" ref="R81:Y81" si="151">+R80</f>
        <v>0</v>
      </c>
      <c r="S81" s="8">
        <f t="shared" si="151"/>
        <v>10</v>
      </c>
      <c r="T81" s="8">
        <f t="shared" si="151"/>
        <v>2.67</v>
      </c>
      <c r="U81" s="8">
        <f t="shared" si="151"/>
        <v>20</v>
      </c>
      <c r="V81" s="8">
        <f t="shared" si="151"/>
        <v>25</v>
      </c>
      <c r="W81" s="8">
        <f t="shared" si="151"/>
        <v>40</v>
      </c>
      <c r="X81" s="8" t="str">
        <f t="shared" si="151"/>
        <v>N</v>
      </c>
      <c r="Y81" s="8" t="str">
        <f t="shared" si="151"/>
        <v>N</v>
      </c>
      <c r="Z81" s="11"/>
      <c r="AA81" s="11"/>
      <c r="AB81" s="11"/>
      <c r="AC81" s="11"/>
    </row>
    <row r="82" spans="1:29" x14ac:dyDescent="0.25">
      <c r="A82" s="7" t="str">
        <f t="shared" ref="A82" si="152">+A81</f>
        <v>1D, square, phase</v>
      </c>
      <c r="B82" s="8">
        <f t="shared" si="144"/>
        <v>0.2</v>
      </c>
      <c r="C82" s="8">
        <f t="shared" si="144"/>
        <v>0.5</v>
      </c>
      <c r="D82" s="8">
        <f t="shared" si="144"/>
        <v>0.5000806581706726</v>
      </c>
      <c r="E82" s="8">
        <f t="shared" si="144"/>
        <v>0</v>
      </c>
      <c r="F82" s="8">
        <f t="shared" si="144"/>
        <v>-5.9523809523809521E-3</v>
      </c>
      <c r="G82" s="8">
        <f t="shared" si="144"/>
        <v>20.618556701030926</v>
      </c>
      <c r="H82" s="8">
        <f t="shared" si="144"/>
        <v>0.24796000000000001</v>
      </c>
      <c r="I82" s="8">
        <v>118500</v>
      </c>
      <c r="J82" s="8">
        <f t="shared" si="144"/>
        <v>0.28906275205678333</v>
      </c>
      <c r="K82" s="8">
        <f t="shared" si="144"/>
        <v>0</v>
      </c>
      <c r="L82" s="8">
        <f t="shared" si="144"/>
        <v>-5.6179775280898875E-3</v>
      </c>
      <c r="M82" s="8">
        <f t="shared" si="144"/>
        <v>20.618556701030926</v>
      </c>
      <c r="N82" s="8">
        <f t="shared" si="144"/>
        <v>0.17124309392265194</v>
      </c>
      <c r="O82" s="8">
        <v>181500</v>
      </c>
      <c r="P82" s="8">
        <f t="shared" si="144"/>
        <v>1</v>
      </c>
      <c r="Q82" s="8">
        <f t="shared" si="144"/>
        <v>2.9999999999999998E-14</v>
      </c>
      <c r="R82" s="8">
        <f t="shared" ref="R82:Y82" si="153">+R81</f>
        <v>0</v>
      </c>
      <c r="S82" s="8">
        <f t="shared" si="153"/>
        <v>10</v>
      </c>
      <c r="T82" s="8">
        <f t="shared" si="153"/>
        <v>2.67</v>
      </c>
      <c r="U82" s="8">
        <f t="shared" si="153"/>
        <v>20</v>
      </c>
      <c r="V82" s="8">
        <f t="shared" si="153"/>
        <v>25</v>
      </c>
      <c r="W82" s="8">
        <f t="shared" si="153"/>
        <v>40</v>
      </c>
      <c r="X82" s="8" t="str">
        <f t="shared" si="153"/>
        <v>N</v>
      </c>
      <c r="Y82" s="8" t="str">
        <f t="shared" si="153"/>
        <v>N</v>
      </c>
      <c r="Z82" s="11"/>
      <c r="AA82" s="11"/>
      <c r="AB82" s="11"/>
      <c r="AC82" s="11"/>
    </row>
    <row r="83" spans="1:29" x14ac:dyDescent="0.25">
      <c r="A83" s="7" t="str">
        <f t="shared" ref="A83" si="154">+A82</f>
        <v>1D, square, phase</v>
      </c>
      <c r="B83" s="8">
        <f t="shared" si="144"/>
        <v>0.2</v>
      </c>
      <c r="C83" s="8">
        <f t="shared" si="144"/>
        <v>0.5</v>
      </c>
      <c r="D83" s="8">
        <f t="shared" si="144"/>
        <v>0.5000806581706726</v>
      </c>
      <c r="E83" s="8">
        <f t="shared" si="144"/>
        <v>0</v>
      </c>
      <c r="F83" s="8">
        <f t="shared" si="144"/>
        <v>-5.9523809523809521E-3</v>
      </c>
      <c r="G83" s="8">
        <f t="shared" si="144"/>
        <v>20.618556701030926</v>
      </c>
      <c r="H83" s="8">
        <f t="shared" si="144"/>
        <v>0.24796000000000001</v>
      </c>
      <c r="I83" s="8">
        <v>120000</v>
      </c>
      <c r="J83" s="8">
        <f t="shared" si="144"/>
        <v>0.28906275205678333</v>
      </c>
      <c r="K83" s="8">
        <f t="shared" si="144"/>
        <v>0</v>
      </c>
      <c r="L83" s="8">
        <f t="shared" si="144"/>
        <v>-5.6179775280898875E-3</v>
      </c>
      <c r="M83" s="8">
        <f t="shared" si="144"/>
        <v>20.618556701030926</v>
      </c>
      <c r="N83" s="8">
        <f t="shared" si="144"/>
        <v>0.17124309392265194</v>
      </c>
      <c r="O83" s="8">
        <v>180000</v>
      </c>
      <c r="P83" s="8">
        <f t="shared" si="144"/>
        <v>1</v>
      </c>
      <c r="Q83" s="8">
        <f t="shared" si="144"/>
        <v>2.9999999999999998E-14</v>
      </c>
      <c r="R83" s="8">
        <f t="shared" ref="R83:Y83" si="155">+R82</f>
        <v>0</v>
      </c>
      <c r="S83" s="8">
        <f t="shared" si="155"/>
        <v>10</v>
      </c>
      <c r="T83" s="8">
        <f t="shared" si="155"/>
        <v>2.67</v>
      </c>
      <c r="U83" s="8">
        <f t="shared" si="155"/>
        <v>20</v>
      </c>
      <c r="V83" s="8">
        <f t="shared" si="155"/>
        <v>25</v>
      </c>
      <c r="W83" s="8">
        <f t="shared" si="155"/>
        <v>40</v>
      </c>
      <c r="X83" s="8" t="str">
        <f t="shared" si="155"/>
        <v>N</v>
      </c>
      <c r="Y83" s="8" t="str">
        <f t="shared" si="155"/>
        <v>N</v>
      </c>
      <c r="Z83" s="11"/>
      <c r="AA83" s="11"/>
      <c r="AB83" s="11"/>
      <c r="AC83" s="11"/>
    </row>
    <row r="84" spans="1:29" x14ac:dyDescent="0.25">
      <c r="A84" s="7" t="str">
        <f t="shared" ref="A84" si="156">+A83</f>
        <v>1D, square, phase</v>
      </c>
      <c r="B84" s="8">
        <f t="shared" si="144"/>
        <v>0.2</v>
      </c>
      <c r="C84" s="8">
        <f t="shared" si="144"/>
        <v>0.5</v>
      </c>
      <c r="D84" s="8">
        <f t="shared" si="144"/>
        <v>0.5000806581706726</v>
      </c>
      <c r="E84" s="8">
        <f t="shared" si="144"/>
        <v>0</v>
      </c>
      <c r="F84" s="8">
        <f t="shared" si="144"/>
        <v>-5.9523809523809521E-3</v>
      </c>
      <c r="G84" s="8">
        <f t="shared" si="144"/>
        <v>20.618556701030926</v>
      </c>
      <c r="H84" s="8">
        <f t="shared" si="144"/>
        <v>0.24796000000000001</v>
      </c>
      <c r="I84" s="8">
        <v>121500</v>
      </c>
      <c r="J84" s="8">
        <f t="shared" si="144"/>
        <v>0.28906275205678333</v>
      </c>
      <c r="K84" s="8">
        <f t="shared" si="144"/>
        <v>0</v>
      </c>
      <c r="L84" s="8">
        <f t="shared" si="144"/>
        <v>-5.6179775280898875E-3</v>
      </c>
      <c r="M84" s="8">
        <f t="shared" si="144"/>
        <v>20.618556701030926</v>
      </c>
      <c r="N84" s="8">
        <f t="shared" si="144"/>
        <v>0.17124309392265194</v>
      </c>
      <c r="O84" s="8">
        <v>178500</v>
      </c>
      <c r="P84" s="8">
        <f t="shared" si="144"/>
        <v>1</v>
      </c>
      <c r="Q84" s="8">
        <f t="shared" si="144"/>
        <v>2.9999999999999998E-14</v>
      </c>
      <c r="R84" s="8">
        <f t="shared" ref="R84:Y84" si="157">+R83</f>
        <v>0</v>
      </c>
      <c r="S84" s="8">
        <f t="shared" si="157"/>
        <v>10</v>
      </c>
      <c r="T84" s="8">
        <f t="shared" si="157"/>
        <v>2.67</v>
      </c>
      <c r="U84" s="8">
        <f t="shared" si="157"/>
        <v>20</v>
      </c>
      <c r="V84" s="8">
        <f t="shared" si="157"/>
        <v>25</v>
      </c>
      <c r="W84" s="8">
        <f t="shared" si="157"/>
        <v>40</v>
      </c>
      <c r="X84" s="8" t="str">
        <f t="shared" si="157"/>
        <v>N</v>
      </c>
      <c r="Y84" s="8" t="str">
        <f t="shared" si="157"/>
        <v>N</v>
      </c>
      <c r="Z84" s="11"/>
      <c r="AA84" s="11"/>
      <c r="AB84" s="11"/>
      <c r="AC84" s="11"/>
    </row>
    <row r="85" spans="1:29" x14ac:dyDescent="0.25">
      <c r="A85" s="7" t="str">
        <f t="shared" ref="A85" si="158">+A84</f>
        <v>1D, square, phase</v>
      </c>
      <c r="B85" s="8">
        <f t="shared" si="144"/>
        <v>0.2</v>
      </c>
      <c r="C85" s="8">
        <f t="shared" si="144"/>
        <v>0.5</v>
      </c>
      <c r="D85" s="8">
        <f t="shared" si="144"/>
        <v>0.5000806581706726</v>
      </c>
      <c r="E85" s="8">
        <f t="shared" si="144"/>
        <v>0</v>
      </c>
      <c r="F85" s="8">
        <f t="shared" si="144"/>
        <v>-5.9523809523809521E-3</v>
      </c>
      <c r="G85" s="8">
        <f t="shared" si="144"/>
        <v>20.618556701030926</v>
      </c>
      <c r="H85" s="8">
        <f t="shared" si="144"/>
        <v>0.24796000000000001</v>
      </c>
      <c r="I85" s="8">
        <v>122999.99999999997</v>
      </c>
      <c r="J85" s="8">
        <f t="shared" si="144"/>
        <v>0.28906275205678333</v>
      </c>
      <c r="K85" s="8">
        <f t="shared" si="144"/>
        <v>0</v>
      </c>
      <c r="L85" s="8">
        <f t="shared" si="144"/>
        <v>-5.6179775280898875E-3</v>
      </c>
      <c r="M85" s="8">
        <f t="shared" si="144"/>
        <v>20.618556701030926</v>
      </c>
      <c r="N85" s="8">
        <f t="shared" si="144"/>
        <v>0.17124309392265194</v>
      </c>
      <c r="O85" s="8">
        <v>177000.00000000003</v>
      </c>
      <c r="P85" s="8">
        <f t="shared" si="144"/>
        <v>1</v>
      </c>
      <c r="Q85" s="8">
        <f t="shared" si="144"/>
        <v>2.9999999999999998E-14</v>
      </c>
      <c r="R85" s="8">
        <f t="shared" ref="R85:Y85" si="159">+R84</f>
        <v>0</v>
      </c>
      <c r="S85" s="8">
        <f t="shared" si="159"/>
        <v>10</v>
      </c>
      <c r="T85" s="8">
        <f t="shared" si="159"/>
        <v>2.67</v>
      </c>
      <c r="U85" s="8">
        <f t="shared" si="159"/>
        <v>20</v>
      </c>
      <c r="V85" s="8">
        <f t="shared" si="159"/>
        <v>25</v>
      </c>
      <c r="W85" s="8">
        <f t="shared" si="159"/>
        <v>40</v>
      </c>
      <c r="X85" s="8" t="str">
        <f t="shared" si="159"/>
        <v>N</v>
      </c>
      <c r="Y85" s="8" t="str">
        <f t="shared" si="159"/>
        <v>N</v>
      </c>
      <c r="Z85" s="11"/>
      <c r="AA85" s="11"/>
      <c r="AB85" s="11"/>
      <c r="AC85" s="11"/>
    </row>
    <row r="86" spans="1:29" x14ac:dyDescent="0.25">
      <c r="A86" s="7" t="str">
        <f t="shared" ref="A86" si="160">+A85</f>
        <v>1D, square, phase</v>
      </c>
      <c r="B86" s="8">
        <f t="shared" si="144"/>
        <v>0.2</v>
      </c>
      <c r="C86" s="8">
        <f t="shared" si="144"/>
        <v>0.5</v>
      </c>
      <c r="D86" s="8">
        <f t="shared" si="144"/>
        <v>0.5000806581706726</v>
      </c>
      <c r="E86" s="8">
        <f t="shared" si="144"/>
        <v>0</v>
      </c>
      <c r="F86" s="8">
        <f t="shared" si="144"/>
        <v>-5.9523809523809521E-3</v>
      </c>
      <c r="G86" s="8">
        <f t="shared" si="144"/>
        <v>20.618556701030926</v>
      </c>
      <c r="H86" s="8">
        <f t="shared" si="144"/>
        <v>0.24796000000000001</v>
      </c>
      <c r="I86" s="8">
        <v>124500</v>
      </c>
      <c r="J86" s="8">
        <f t="shared" si="144"/>
        <v>0.28906275205678333</v>
      </c>
      <c r="K86" s="8">
        <f t="shared" si="144"/>
        <v>0</v>
      </c>
      <c r="L86" s="8">
        <f t="shared" si="144"/>
        <v>-5.6179775280898875E-3</v>
      </c>
      <c r="M86" s="8">
        <f t="shared" si="144"/>
        <v>20.618556701030926</v>
      </c>
      <c r="N86" s="8">
        <f t="shared" si="144"/>
        <v>0.17124309392265194</v>
      </c>
      <c r="O86" s="8">
        <v>175500</v>
      </c>
      <c r="P86" s="8">
        <f t="shared" si="144"/>
        <v>1</v>
      </c>
      <c r="Q86" s="8">
        <f t="shared" si="144"/>
        <v>2.9999999999999998E-14</v>
      </c>
      <c r="R86" s="8">
        <f t="shared" ref="R86:Y86" si="161">+R85</f>
        <v>0</v>
      </c>
      <c r="S86" s="8">
        <f t="shared" si="161"/>
        <v>10</v>
      </c>
      <c r="T86" s="8">
        <f t="shared" si="161"/>
        <v>2.67</v>
      </c>
      <c r="U86" s="8">
        <f t="shared" si="161"/>
        <v>20</v>
      </c>
      <c r="V86" s="8">
        <f t="shared" si="161"/>
        <v>25</v>
      </c>
      <c r="W86" s="8">
        <f t="shared" si="161"/>
        <v>40</v>
      </c>
      <c r="X86" s="8" t="str">
        <f t="shared" si="161"/>
        <v>N</v>
      </c>
      <c r="Y86" s="8" t="str">
        <f t="shared" si="161"/>
        <v>N</v>
      </c>
      <c r="Z86" s="11"/>
      <c r="AA86" s="11"/>
      <c r="AB86" s="11"/>
      <c r="AC86" s="11"/>
    </row>
    <row r="87" spans="1:29" x14ac:dyDescent="0.25">
      <c r="A87" s="7" t="str">
        <f t="shared" ref="A87" si="162">+A86</f>
        <v>1D, square, phase</v>
      </c>
      <c r="B87" s="8">
        <f t="shared" si="144"/>
        <v>0.2</v>
      </c>
      <c r="C87" s="8">
        <f t="shared" si="144"/>
        <v>0.5</v>
      </c>
      <c r="D87" s="8">
        <f t="shared" si="144"/>
        <v>0.5000806581706726</v>
      </c>
      <c r="E87" s="8">
        <f t="shared" si="144"/>
        <v>0</v>
      </c>
      <c r="F87" s="8">
        <f t="shared" si="144"/>
        <v>-5.9523809523809521E-3</v>
      </c>
      <c r="G87" s="8">
        <f t="shared" si="144"/>
        <v>20.618556701030926</v>
      </c>
      <c r="H87" s="8">
        <f t="shared" si="144"/>
        <v>0.24796000000000001</v>
      </c>
      <c r="I87" s="8">
        <v>125999.99999999997</v>
      </c>
      <c r="J87" s="8">
        <f t="shared" si="144"/>
        <v>0.28906275205678333</v>
      </c>
      <c r="K87" s="8">
        <f t="shared" si="144"/>
        <v>0</v>
      </c>
      <c r="L87" s="8">
        <f t="shared" si="144"/>
        <v>-5.6179775280898875E-3</v>
      </c>
      <c r="M87" s="8">
        <f t="shared" si="144"/>
        <v>20.618556701030926</v>
      </c>
      <c r="N87" s="8">
        <f t="shared" si="144"/>
        <v>0.17124309392265194</v>
      </c>
      <c r="O87" s="8">
        <v>174000.00000000003</v>
      </c>
      <c r="P87" s="8">
        <f t="shared" si="144"/>
        <v>1</v>
      </c>
      <c r="Q87" s="8">
        <f t="shared" si="144"/>
        <v>2.9999999999999998E-14</v>
      </c>
      <c r="R87" s="8">
        <f t="shared" ref="R87:Y87" si="163">+R86</f>
        <v>0</v>
      </c>
      <c r="S87" s="8">
        <f t="shared" si="163"/>
        <v>10</v>
      </c>
      <c r="T87" s="8">
        <f t="shared" si="163"/>
        <v>2.67</v>
      </c>
      <c r="U87" s="8">
        <f t="shared" si="163"/>
        <v>20</v>
      </c>
      <c r="V87" s="8">
        <f t="shared" si="163"/>
        <v>25</v>
      </c>
      <c r="W87" s="8">
        <f t="shared" si="163"/>
        <v>40</v>
      </c>
      <c r="X87" s="8" t="str">
        <f t="shared" si="163"/>
        <v>N</v>
      </c>
      <c r="Y87" s="8" t="str">
        <f t="shared" si="163"/>
        <v>N</v>
      </c>
      <c r="Z87" s="11"/>
      <c r="AA87" s="11"/>
      <c r="AB87" s="11"/>
      <c r="AC87" s="11"/>
    </row>
    <row r="88" spans="1:29" x14ac:dyDescent="0.25">
      <c r="A88" s="7" t="str">
        <f t="shared" ref="A88" si="164">+A87</f>
        <v>1D, square, phase</v>
      </c>
      <c r="B88" s="8">
        <f t="shared" si="144"/>
        <v>0.2</v>
      </c>
      <c r="C88" s="8">
        <f t="shared" si="144"/>
        <v>0.5</v>
      </c>
      <c r="D88" s="8">
        <f t="shared" si="144"/>
        <v>0.5000806581706726</v>
      </c>
      <c r="E88" s="8">
        <f t="shared" si="144"/>
        <v>0</v>
      </c>
      <c r="F88" s="8">
        <f t="shared" si="144"/>
        <v>-5.9523809523809521E-3</v>
      </c>
      <c r="G88" s="8">
        <f t="shared" si="144"/>
        <v>20.618556701030926</v>
      </c>
      <c r="H88" s="8">
        <f t="shared" si="144"/>
        <v>0.24796000000000001</v>
      </c>
      <c r="I88" s="8">
        <v>127500</v>
      </c>
      <c r="J88" s="8">
        <f t="shared" si="144"/>
        <v>0.28906275205678333</v>
      </c>
      <c r="K88" s="8">
        <f t="shared" si="144"/>
        <v>0</v>
      </c>
      <c r="L88" s="8">
        <f t="shared" si="144"/>
        <v>-5.6179775280898875E-3</v>
      </c>
      <c r="M88" s="8">
        <f t="shared" si="144"/>
        <v>20.618556701030926</v>
      </c>
      <c r="N88" s="8">
        <f t="shared" si="144"/>
        <v>0.17124309392265194</v>
      </c>
      <c r="O88" s="8">
        <v>172500</v>
      </c>
      <c r="P88" s="8">
        <f t="shared" si="144"/>
        <v>1</v>
      </c>
      <c r="Q88" s="8">
        <f t="shared" si="144"/>
        <v>2.9999999999999998E-14</v>
      </c>
      <c r="R88" s="8">
        <f t="shared" ref="R88:Y88" si="165">+R87</f>
        <v>0</v>
      </c>
      <c r="S88" s="8">
        <f t="shared" si="165"/>
        <v>10</v>
      </c>
      <c r="T88" s="8">
        <f t="shared" si="165"/>
        <v>2.67</v>
      </c>
      <c r="U88" s="8">
        <f t="shared" si="165"/>
        <v>20</v>
      </c>
      <c r="V88" s="8">
        <f t="shared" si="165"/>
        <v>25</v>
      </c>
      <c r="W88" s="8">
        <f t="shared" si="165"/>
        <v>40</v>
      </c>
      <c r="X88" s="8" t="str">
        <f t="shared" si="165"/>
        <v>N</v>
      </c>
      <c r="Y88" s="8" t="str">
        <f t="shared" si="165"/>
        <v>N</v>
      </c>
      <c r="Z88" s="11"/>
      <c r="AA88" s="11"/>
      <c r="AB88" s="11"/>
      <c r="AC88" s="11"/>
    </row>
    <row r="89" spans="1:29" x14ac:dyDescent="0.25">
      <c r="A89" s="7" t="str">
        <f t="shared" ref="A89" si="166">+A88</f>
        <v>1D, square, phase</v>
      </c>
      <c r="B89" s="8">
        <f t="shared" si="144"/>
        <v>0.2</v>
      </c>
      <c r="C89" s="8">
        <f t="shared" si="144"/>
        <v>0.5</v>
      </c>
      <c r="D89" s="8">
        <f t="shared" si="144"/>
        <v>0.5000806581706726</v>
      </c>
      <c r="E89" s="8">
        <f t="shared" si="144"/>
        <v>0</v>
      </c>
      <c r="F89" s="8">
        <f t="shared" si="144"/>
        <v>-5.9523809523809521E-3</v>
      </c>
      <c r="G89" s="8">
        <f t="shared" si="144"/>
        <v>20.618556701030926</v>
      </c>
      <c r="H89" s="8">
        <f t="shared" si="144"/>
        <v>0.24796000000000001</v>
      </c>
      <c r="I89" s="8">
        <v>128999.99999999997</v>
      </c>
      <c r="J89" s="8">
        <f t="shared" si="144"/>
        <v>0.28906275205678333</v>
      </c>
      <c r="K89" s="8">
        <f t="shared" si="144"/>
        <v>0</v>
      </c>
      <c r="L89" s="8">
        <f t="shared" si="144"/>
        <v>-5.6179775280898875E-3</v>
      </c>
      <c r="M89" s="8">
        <f t="shared" si="144"/>
        <v>20.618556701030926</v>
      </c>
      <c r="N89" s="8">
        <f t="shared" si="144"/>
        <v>0.17124309392265194</v>
      </c>
      <c r="O89" s="8">
        <v>171000.00000000003</v>
      </c>
      <c r="P89" s="8">
        <f t="shared" si="144"/>
        <v>1</v>
      </c>
      <c r="Q89" s="8">
        <f t="shared" si="144"/>
        <v>2.9999999999999998E-14</v>
      </c>
      <c r="R89" s="8">
        <f t="shared" ref="R89:Y89" si="167">+R88</f>
        <v>0</v>
      </c>
      <c r="S89" s="8">
        <f t="shared" si="167"/>
        <v>10</v>
      </c>
      <c r="T89" s="8">
        <f t="shared" si="167"/>
        <v>2.67</v>
      </c>
      <c r="U89" s="8">
        <f t="shared" si="167"/>
        <v>20</v>
      </c>
      <c r="V89" s="8">
        <f t="shared" si="167"/>
        <v>25</v>
      </c>
      <c r="W89" s="8">
        <f t="shared" si="167"/>
        <v>40</v>
      </c>
      <c r="X89" s="8" t="str">
        <f t="shared" si="167"/>
        <v>N</v>
      </c>
      <c r="Y89" s="8" t="str">
        <f t="shared" si="167"/>
        <v>N</v>
      </c>
      <c r="Z89" s="11"/>
      <c r="AA89" s="11"/>
      <c r="AB89" s="11"/>
      <c r="AC89" s="11"/>
    </row>
    <row r="90" spans="1:29" x14ac:dyDescent="0.25">
      <c r="A90" s="7" t="str">
        <f t="shared" ref="A90" si="168">+A89</f>
        <v>1D, square, phase</v>
      </c>
      <c r="B90" s="8">
        <f t="shared" si="144"/>
        <v>0.2</v>
      </c>
      <c r="C90" s="8">
        <f t="shared" si="144"/>
        <v>0.5</v>
      </c>
      <c r="D90" s="8">
        <f t="shared" si="144"/>
        <v>0.5000806581706726</v>
      </c>
      <c r="E90" s="8">
        <f t="shared" si="144"/>
        <v>0</v>
      </c>
      <c r="F90" s="8">
        <f t="shared" si="144"/>
        <v>-5.9523809523809521E-3</v>
      </c>
      <c r="G90" s="8">
        <f t="shared" si="144"/>
        <v>20.618556701030926</v>
      </c>
      <c r="H90" s="8">
        <f t="shared" si="144"/>
        <v>0.24796000000000001</v>
      </c>
      <c r="I90" s="8">
        <v>130500.00000000003</v>
      </c>
      <c r="J90" s="8">
        <f t="shared" si="144"/>
        <v>0.28906275205678333</v>
      </c>
      <c r="K90" s="8">
        <f t="shared" si="144"/>
        <v>0</v>
      </c>
      <c r="L90" s="8">
        <f t="shared" si="144"/>
        <v>-5.6179775280898875E-3</v>
      </c>
      <c r="M90" s="8">
        <f t="shared" si="144"/>
        <v>20.618556701030926</v>
      </c>
      <c r="N90" s="8">
        <f t="shared" si="144"/>
        <v>0.17124309392265194</v>
      </c>
      <c r="O90" s="8">
        <v>169499.99999999997</v>
      </c>
      <c r="P90" s="8">
        <f t="shared" si="144"/>
        <v>1</v>
      </c>
      <c r="Q90" s="8">
        <f t="shared" si="144"/>
        <v>2.9999999999999998E-14</v>
      </c>
      <c r="R90" s="8">
        <f t="shared" ref="R90:Y90" si="169">+R89</f>
        <v>0</v>
      </c>
      <c r="S90" s="8">
        <f t="shared" si="169"/>
        <v>10</v>
      </c>
      <c r="T90" s="8">
        <f t="shared" si="169"/>
        <v>2.67</v>
      </c>
      <c r="U90" s="8">
        <f t="shared" si="169"/>
        <v>20</v>
      </c>
      <c r="V90" s="8">
        <f t="shared" si="169"/>
        <v>25</v>
      </c>
      <c r="W90" s="8">
        <f t="shared" si="169"/>
        <v>40</v>
      </c>
      <c r="X90" s="8" t="str">
        <f t="shared" si="169"/>
        <v>N</v>
      </c>
      <c r="Y90" s="8" t="str">
        <f t="shared" si="169"/>
        <v>N</v>
      </c>
      <c r="Z90" s="11"/>
      <c r="AA90" s="11"/>
      <c r="AB90" s="11"/>
      <c r="AC90" s="11"/>
    </row>
    <row r="91" spans="1:29" x14ac:dyDescent="0.25">
      <c r="A91" s="7" t="str">
        <f t="shared" ref="A91" si="170">+A90</f>
        <v>1D, square, phase</v>
      </c>
      <c r="B91" s="8">
        <f t="shared" si="144"/>
        <v>0.2</v>
      </c>
      <c r="C91" s="8">
        <f t="shared" si="144"/>
        <v>0.5</v>
      </c>
      <c r="D91" s="8">
        <f t="shared" si="144"/>
        <v>0.5000806581706726</v>
      </c>
      <c r="E91" s="8">
        <f t="shared" si="144"/>
        <v>0</v>
      </c>
      <c r="F91" s="8">
        <f t="shared" si="144"/>
        <v>-5.9523809523809521E-3</v>
      </c>
      <c r="G91" s="8">
        <f t="shared" si="144"/>
        <v>20.618556701030926</v>
      </c>
      <c r="H91" s="8">
        <f t="shared" si="144"/>
        <v>0.24796000000000001</v>
      </c>
      <c r="I91" s="8">
        <v>131999.99999999997</v>
      </c>
      <c r="J91" s="8">
        <f t="shared" si="144"/>
        <v>0.28906275205678333</v>
      </c>
      <c r="K91" s="8">
        <f t="shared" si="144"/>
        <v>0</v>
      </c>
      <c r="L91" s="8">
        <f t="shared" si="144"/>
        <v>-5.6179775280898875E-3</v>
      </c>
      <c r="M91" s="8">
        <f t="shared" si="144"/>
        <v>20.618556701030926</v>
      </c>
      <c r="N91" s="8">
        <f t="shared" si="144"/>
        <v>0.17124309392265194</v>
      </c>
      <c r="O91" s="8">
        <v>168000.00000000003</v>
      </c>
      <c r="P91" s="8">
        <f t="shared" si="144"/>
        <v>1</v>
      </c>
      <c r="Q91" s="8">
        <f t="shared" si="144"/>
        <v>2.9999999999999998E-14</v>
      </c>
      <c r="R91" s="8">
        <f t="shared" ref="R91:Y91" si="171">+R90</f>
        <v>0</v>
      </c>
      <c r="S91" s="8">
        <f t="shared" si="171"/>
        <v>10</v>
      </c>
      <c r="T91" s="8">
        <f t="shared" si="171"/>
        <v>2.67</v>
      </c>
      <c r="U91" s="8">
        <f t="shared" si="171"/>
        <v>20</v>
      </c>
      <c r="V91" s="8">
        <f t="shared" si="171"/>
        <v>25</v>
      </c>
      <c r="W91" s="8">
        <f t="shared" si="171"/>
        <v>40</v>
      </c>
      <c r="X91" s="8" t="str">
        <f t="shared" si="171"/>
        <v>N</v>
      </c>
      <c r="Y91" s="8" t="str">
        <f t="shared" si="171"/>
        <v>N</v>
      </c>
      <c r="Z91" s="11"/>
      <c r="AA91" s="11"/>
      <c r="AB91" s="11"/>
      <c r="AC91" s="11"/>
    </row>
    <row r="92" spans="1:29" x14ac:dyDescent="0.25">
      <c r="A92" s="7" t="str">
        <f t="shared" ref="A92" si="172">+A91</f>
        <v>1D, square, phase</v>
      </c>
      <c r="B92" s="8">
        <f t="shared" si="144"/>
        <v>0.2</v>
      </c>
      <c r="C92" s="8">
        <f t="shared" si="144"/>
        <v>0.5</v>
      </c>
      <c r="D92" s="8">
        <f t="shared" si="144"/>
        <v>0.5000806581706726</v>
      </c>
      <c r="E92" s="8">
        <f t="shared" si="144"/>
        <v>0</v>
      </c>
      <c r="F92" s="8">
        <f t="shared" si="144"/>
        <v>-5.9523809523809521E-3</v>
      </c>
      <c r="G92" s="8">
        <f t="shared" si="144"/>
        <v>20.618556701030926</v>
      </c>
      <c r="H92" s="8">
        <f t="shared" si="144"/>
        <v>0.24796000000000001</v>
      </c>
      <c r="I92" s="8">
        <v>133500.00000000003</v>
      </c>
      <c r="J92" s="8">
        <f t="shared" si="144"/>
        <v>0.28906275205678333</v>
      </c>
      <c r="K92" s="8">
        <f t="shared" si="144"/>
        <v>0</v>
      </c>
      <c r="L92" s="8">
        <f t="shared" si="144"/>
        <v>-5.6179775280898875E-3</v>
      </c>
      <c r="M92" s="8">
        <f t="shared" si="144"/>
        <v>20.618556701030926</v>
      </c>
      <c r="N92" s="8">
        <f t="shared" si="144"/>
        <v>0.17124309392265194</v>
      </c>
      <c r="O92" s="8">
        <v>166499.99999999997</v>
      </c>
      <c r="P92" s="8">
        <f t="shared" si="144"/>
        <v>1</v>
      </c>
      <c r="Q92" s="8">
        <f t="shared" si="144"/>
        <v>2.9999999999999998E-14</v>
      </c>
      <c r="R92" s="8">
        <f t="shared" ref="R92:Y92" si="173">+R91</f>
        <v>0</v>
      </c>
      <c r="S92" s="8">
        <f t="shared" si="173"/>
        <v>10</v>
      </c>
      <c r="T92" s="8">
        <f t="shared" si="173"/>
        <v>2.67</v>
      </c>
      <c r="U92" s="8">
        <f t="shared" si="173"/>
        <v>20</v>
      </c>
      <c r="V92" s="8">
        <f t="shared" si="173"/>
        <v>25</v>
      </c>
      <c r="W92" s="8">
        <f t="shared" si="173"/>
        <v>40</v>
      </c>
      <c r="X92" s="8" t="str">
        <f t="shared" si="173"/>
        <v>N</v>
      </c>
      <c r="Y92" s="8" t="str">
        <f t="shared" si="173"/>
        <v>N</v>
      </c>
      <c r="Z92" s="11"/>
      <c r="AA92" s="11"/>
      <c r="AB92" s="11"/>
      <c r="AC92" s="11"/>
    </row>
    <row r="93" spans="1:29" x14ac:dyDescent="0.25">
      <c r="A93" s="7" t="str">
        <f t="shared" ref="A93" si="174">+A92</f>
        <v>1D, square, phase</v>
      </c>
      <c r="B93" s="8">
        <f t="shared" si="144"/>
        <v>0.2</v>
      </c>
      <c r="C93" s="8">
        <f t="shared" si="144"/>
        <v>0.5</v>
      </c>
      <c r="D93" s="8">
        <f t="shared" si="144"/>
        <v>0.5000806581706726</v>
      </c>
      <c r="E93" s="8">
        <f t="shared" si="144"/>
        <v>0</v>
      </c>
      <c r="F93" s="8">
        <f t="shared" si="144"/>
        <v>-5.9523809523809521E-3</v>
      </c>
      <c r="G93" s="8">
        <f t="shared" si="144"/>
        <v>20.618556701030926</v>
      </c>
      <c r="H93" s="8">
        <f t="shared" si="144"/>
        <v>0.24796000000000001</v>
      </c>
      <c r="I93" s="8">
        <v>135000</v>
      </c>
      <c r="J93" s="8">
        <f t="shared" si="144"/>
        <v>0.28906275205678333</v>
      </c>
      <c r="K93" s="8">
        <f t="shared" si="144"/>
        <v>0</v>
      </c>
      <c r="L93" s="8">
        <f t="shared" si="144"/>
        <v>-5.6179775280898875E-3</v>
      </c>
      <c r="M93" s="8">
        <f t="shared" si="144"/>
        <v>20.618556701030926</v>
      </c>
      <c r="N93" s="8">
        <f t="shared" si="144"/>
        <v>0.17124309392265194</v>
      </c>
      <c r="O93" s="8">
        <v>165000</v>
      </c>
      <c r="P93" s="8">
        <f t="shared" si="144"/>
        <v>1</v>
      </c>
      <c r="Q93" s="8">
        <f t="shared" ref="Q93:Y93" si="175">+Q92</f>
        <v>2.9999999999999998E-14</v>
      </c>
      <c r="R93" s="8">
        <f t="shared" si="175"/>
        <v>0</v>
      </c>
      <c r="S93" s="8">
        <f t="shared" si="175"/>
        <v>10</v>
      </c>
      <c r="T93" s="8">
        <f t="shared" si="175"/>
        <v>2.67</v>
      </c>
      <c r="U93" s="8">
        <f t="shared" si="175"/>
        <v>20</v>
      </c>
      <c r="V93" s="8">
        <f t="shared" si="175"/>
        <v>25</v>
      </c>
      <c r="W93" s="8">
        <f t="shared" si="175"/>
        <v>40</v>
      </c>
      <c r="X93" s="8" t="str">
        <f t="shared" si="175"/>
        <v>N</v>
      </c>
      <c r="Y93" s="8" t="str">
        <f t="shared" si="175"/>
        <v>N</v>
      </c>
      <c r="Z93" s="11"/>
      <c r="AA93" s="11"/>
      <c r="AB93" s="11"/>
      <c r="AC93" s="11"/>
    </row>
    <row r="94" spans="1:29" x14ac:dyDescent="0.25">
      <c r="A94" s="7" t="str">
        <f t="shared" ref="A94" si="176">+A93</f>
        <v>1D, square, phase</v>
      </c>
      <c r="B94" s="8">
        <f t="shared" ref="B94:Q109" si="177">+B93</f>
        <v>0.2</v>
      </c>
      <c r="C94" s="8">
        <f t="shared" si="177"/>
        <v>0.5</v>
      </c>
      <c r="D94" s="8">
        <f t="shared" si="177"/>
        <v>0.5000806581706726</v>
      </c>
      <c r="E94" s="8">
        <f t="shared" si="177"/>
        <v>0</v>
      </c>
      <c r="F94" s="8">
        <f t="shared" si="177"/>
        <v>-5.9523809523809521E-3</v>
      </c>
      <c r="G94" s="8">
        <f t="shared" si="177"/>
        <v>20.618556701030926</v>
      </c>
      <c r="H94" s="8">
        <f t="shared" si="177"/>
        <v>0.24796000000000001</v>
      </c>
      <c r="I94" s="8">
        <v>136500.00000000003</v>
      </c>
      <c r="J94" s="8">
        <f t="shared" si="177"/>
        <v>0.28906275205678333</v>
      </c>
      <c r="K94" s="8">
        <f t="shared" si="177"/>
        <v>0</v>
      </c>
      <c r="L94" s="8">
        <f t="shared" si="177"/>
        <v>-5.6179775280898875E-3</v>
      </c>
      <c r="M94" s="8">
        <f t="shared" si="177"/>
        <v>20.618556701030926</v>
      </c>
      <c r="N94" s="8">
        <f t="shared" si="177"/>
        <v>0.17124309392265194</v>
      </c>
      <c r="O94" s="8">
        <v>163499.99999999997</v>
      </c>
      <c r="P94" s="8">
        <f t="shared" si="177"/>
        <v>1</v>
      </c>
      <c r="Q94" s="8">
        <f t="shared" si="177"/>
        <v>2.9999999999999998E-14</v>
      </c>
      <c r="R94" s="8">
        <f t="shared" ref="R94:Y94" si="178">+R93</f>
        <v>0</v>
      </c>
      <c r="S94" s="8">
        <f t="shared" si="178"/>
        <v>10</v>
      </c>
      <c r="T94" s="8">
        <f t="shared" si="178"/>
        <v>2.67</v>
      </c>
      <c r="U94" s="8">
        <f t="shared" si="178"/>
        <v>20</v>
      </c>
      <c r="V94" s="8">
        <f t="shared" si="178"/>
        <v>25</v>
      </c>
      <c r="W94" s="8">
        <f t="shared" si="178"/>
        <v>40</v>
      </c>
      <c r="X94" s="8" t="str">
        <f t="shared" si="178"/>
        <v>N</v>
      </c>
      <c r="Y94" s="8" t="str">
        <f t="shared" si="178"/>
        <v>N</v>
      </c>
      <c r="Z94" s="11"/>
      <c r="AA94" s="11"/>
      <c r="AB94" s="11"/>
      <c r="AC94" s="11"/>
    </row>
    <row r="95" spans="1:29" x14ac:dyDescent="0.25">
      <c r="A95" s="7" t="str">
        <f t="shared" ref="A95" si="179">+A94</f>
        <v>1D, square, phase</v>
      </c>
      <c r="B95" s="8">
        <f t="shared" si="177"/>
        <v>0.2</v>
      </c>
      <c r="C95" s="8">
        <f t="shared" si="177"/>
        <v>0.5</v>
      </c>
      <c r="D95" s="8">
        <f t="shared" si="177"/>
        <v>0.5000806581706726</v>
      </c>
      <c r="E95" s="8">
        <f t="shared" si="177"/>
        <v>0</v>
      </c>
      <c r="F95" s="8">
        <f t="shared" si="177"/>
        <v>-5.9523809523809521E-3</v>
      </c>
      <c r="G95" s="8">
        <f t="shared" si="177"/>
        <v>20.618556701030926</v>
      </c>
      <c r="H95" s="8">
        <f t="shared" si="177"/>
        <v>0.24796000000000001</v>
      </c>
      <c r="I95" s="8">
        <v>138000</v>
      </c>
      <c r="J95" s="8">
        <f t="shared" si="177"/>
        <v>0.28906275205678333</v>
      </c>
      <c r="K95" s="8">
        <f t="shared" si="177"/>
        <v>0</v>
      </c>
      <c r="L95" s="8">
        <f t="shared" si="177"/>
        <v>-5.6179775280898875E-3</v>
      </c>
      <c r="M95" s="8">
        <f t="shared" si="177"/>
        <v>20.618556701030926</v>
      </c>
      <c r="N95" s="8">
        <f t="shared" si="177"/>
        <v>0.17124309392265194</v>
      </c>
      <c r="O95" s="8">
        <v>162000</v>
      </c>
      <c r="P95" s="8">
        <f t="shared" si="177"/>
        <v>1</v>
      </c>
      <c r="Q95" s="8">
        <f t="shared" si="177"/>
        <v>2.9999999999999998E-14</v>
      </c>
      <c r="R95" s="8">
        <f t="shared" ref="R95:Y95" si="180">+R94</f>
        <v>0</v>
      </c>
      <c r="S95" s="8">
        <f t="shared" si="180"/>
        <v>10</v>
      </c>
      <c r="T95" s="8">
        <f t="shared" si="180"/>
        <v>2.67</v>
      </c>
      <c r="U95" s="8">
        <f t="shared" si="180"/>
        <v>20</v>
      </c>
      <c r="V95" s="8">
        <f t="shared" si="180"/>
        <v>25</v>
      </c>
      <c r="W95" s="8">
        <f t="shared" si="180"/>
        <v>40</v>
      </c>
      <c r="X95" s="8" t="str">
        <f t="shared" si="180"/>
        <v>N</v>
      </c>
      <c r="Y95" s="8" t="str">
        <f t="shared" si="180"/>
        <v>N</v>
      </c>
      <c r="Z95" s="11"/>
      <c r="AA95" s="11"/>
      <c r="AB95" s="11"/>
      <c r="AC95" s="11"/>
    </row>
    <row r="96" spans="1:29" x14ac:dyDescent="0.25">
      <c r="A96" s="7" t="str">
        <f t="shared" ref="A96" si="181">+A95</f>
        <v>1D, square, phase</v>
      </c>
      <c r="B96" s="8">
        <f t="shared" si="177"/>
        <v>0.2</v>
      </c>
      <c r="C96" s="8">
        <f t="shared" si="177"/>
        <v>0.5</v>
      </c>
      <c r="D96" s="8">
        <f t="shared" si="177"/>
        <v>0.5000806581706726</v>
      </c>
      <c r="E96" s="8">
        <f t="shared" si="177"/>
        <v>0</v>
      </c>
      <c r="F96" s="8">
        <f t="shared" si="177"/>
        <v>-5.9523809523809521E-3</v>
      </c>
      <c r="G96" s="8">
        <f t="shared" si="177"/>
        <v>20.618556701030926</v>
      </c>
      <c r="H96" s="8">
        <f t="shared" si="177"/>
        <v>0.24796000000000001</v>
      </c>
      <c r="I96" s="8">
        <v>139500.00000000003</v>
      </c>
      <c r="J96" s="8">
        <f t="shared" si="177"/>
        <v>0.28906275205678333</v>
      </c>
      <c r="K96" s="8">
        <f t="shared" si="177"/>
        <v>0</v>
      </c>
      <c r="L96" s="8">
        <f t="shared" si="177"/>
        <v>-5.6179775280898875E-3</v>
      </c>
      <c r="M96" s="8">
        <f t="shared" si="177"/>
        <v>20.618556701030926</v>
      </c>
      <c r="N96" s="8">
        <f t="shared" si="177"/>
        <v>0.17124309392265194</v>
      </c>
      <c r="O96" s="8">
        <v>160499.99999999997</v>
      </c>
      <c r="P96" s="8">
        <f t="shared" si="177"/>
        <v>1</v>
      </c>
      <c r="Q96" s="8">
        <f t="shared" si="177"/>
        <v>2.9999999999999998E-14</v>
      </c>
      <c r="R96" s="8">
        <f t="shared" ref="R96:Y96" si="182">+R95</f>
        <v>0</v>
      </c>
      <c r="S96" s="8">
        <f t="shared" si="182"/>
        <v>10</v>
      </c>
      <c r="T96" s="8">
        <f t="shared" si="182"/>
        <v>2.67</v>
      </c>
      <c r="U96" s="8">
        <f t="shared" si="182"/>
        <v>20</v>
      </c>
      <c r="V96" s="8">
        <f t="shared" si="182"/>
        <v>25</v>
      </c>
      <c r="W96" s="8">
        <f t="shared" si="182"/>
        <v>40</v>
      </c>
      <c r="X96" s="8" t="str">
        <f t="shared" si="182"/>
        <v>N</v>
      </c>
      <c r="Y96" s="8" t="str">
        <f t="shared" si="182"/>
        <v>N</v>
      </c>
      <c r="Z96" s="11"/>
      <c r="AA96" s="11"/>
      <c r="AB96" s="11"/>
      <c r="AC96" s="11"/>
    </row>
    <row r="97" spans="1:29" x14ac:dyDescent="0.25">
      <c r="A97" s="7" t="str">
        <f t="shared" ref="A97" si="183">+A96</f>
        <v>1D, square, phase</v>
      </c>
      <c r="B97" s="8">
        <f t="shared" si="177"/>
        <v>0.2</v>
      </c>
      <c r="C97" s="8">
        <f t="shared" si="177"/>
        <v>0.5</v>
      </c>
      <c r="D97" s="8">
        <f t="shared" si="177"/>
        <v>0.5000806581706726</v>
      </c>
      <c r="E97" s="8">
        <f t="shared" si="177"/>
        <v>0</v>
      </c>
      <c r="F97" s="8">
        <f t="shared" si="177"/>
        <v>-5.9523809523809521E-3</v>
      </c>
      <c r="G97" s="8">
        <f t="shared" si="177"/>
        <v>20.618556701030926</v>
      </c>
      <c r="H97" s="8">
        <f t="shared" si="177"/>
        <v>0.24796000000000001</v>
      </c>
      <c r="I97" s="8">
        <v>141000</v>
      </c>
      <c r="J97" s="8">
        <f t="shared" si="177"/>
        <v>0.28906275205678333</v>
      </c>
      <c r="K97" s="8">
        <f t="shared" si="177"/>
        <v>0</v>
      </c>
      <c r="L97" s="8">
        <f t="shared" si="177"/>
        <v>-5.6179775280898875E-3</v>
      </c>
      <c r="M97" s="8">
        <f t="shared" si="177"/>
        <v>20.618556701030926</v>
      </c>
      <c r="N97" s="8">
        <f t="shared" si="177"/>
        <v>0.17124309392265194</v>
      </c>
      <c r="O97" s="8">
        <v>159000</v>
      </c>
      <c r="P97" s="8">
        <f t="shared" si="177"/>
        <v>1</v>
      </c>
      <c r="Q97" s="8">
        <f t="shared" si="177"/>
        <v>2.9999999999999998E-14</v>
      </c>
      <c r="R97" s="8">
        <f t="shared" ref="R97:Y97" si="184">+R96</f>
        <v>0</v>
      </c>
      <c r="S97" s="8">
        <f t="shared" si="184"/>
        <v>10</v>
      </c>
      <c r="T97" s="8">
        <f t="shared" si="184"/>
        <v>2.67</v>
      </c>
      <c r="U97" s="8">
        <f t="shared" si="184"/>
        <v>20</v>
      </c>
      <c r="V97" s="8">
        <f t="shared" si="184"/>
        <v>25</v>
      </c>
      <c r="W97" s="8">
        <f t="shared" si="184"/>
        <v>40</v>
      </c>
      <c r="X97" s="8" t="str">
        <f t="shared" si="184"/>
        <v>N</v>
      </c>
      <c r="Y97" s="8" t="str">
        <f t="shared" si="184"/>
        <v>N</v>
      </c>
      <c r="Z97" s="11"/>
      <c r="AA97" s="11"/>
      <c r="AB97" s="11"/>
      <c r="AC97" s="11"/>
    </row>
    <row r="98" spans="1:29" x14ac:dyDescent="0.25">
      <c r="A98" s="7" t="str">
        <f t="shared" ref="A98" si="185">+A97</f>
        <v>1D, square, phase</v>
      </c>
      <c r="B98" s="8">
        <f t="shared" si="177"/>
        <v>0.2</v>
      </c>
      <c r="C98" s="8">
        <f t="shared" si="177"/>
        <v>0.5</v>
      </c>
      <c r="D98" s="8">
        <f t="shared" si="177"/>
        <v>0.5000806581706726</v>
      </c>
      <c r="E98" s="8">
        <f t="shared" si="177"/>
        <v>0</v>
      </c>
      <c r="F98" s="8">
        <f t="shared" si="177"/>
        <v>-5.9523809523809521E-3</v>
      </c>
      <c r="G98" s="8">
        <f t="shared" si="177"/>
        <v>20.618556701030926</v>
      </c>
      <c r="H98" s="8">
        <f t="shared" si="177"/>
        <v>0.24796000000000001</v>
      </c>
      <c r="I98" s="8">
        <v>142500</v>
      </c>
      <c r="J98" s="8">
        <f t="shared" si="177"/>
        <v>0.28906275205678333</v>
      </c>
      <c r="K98" s="8">
        <f t="shared" si="177"/>
        <v>0</v>
      </c>
      <c r="L98" s="8">
        <f t="shared" si="177"/>
        <v>-5.6179775280898875E-3</v>
      </c>
      <c r="M98" s="8">
        <f t="shared" si="177"/>
        <v>20.618556701030926</v>
      </c>
      <c r="N98" s="8">
        <f t="shared" si="177"/>
        <v>0.17124309392265194</v>
      </c>
      <c r="O98" s="8">
        <v>157500</v>
      </c>
      <c r="P98" s="8">
        <f t="shared" si="177"/>
        <v>1</v>
      </c>
      <c r="Q98" s="8">
        <f t="shared" si="177"/>
        <v>2.9999999999999998E-14</v>
      </c>
      <c r="R98" s="8">
        <f t="shared" ref="R98:Y98" si="186">+R97</f>
        <v>0</v>
      </c>
      <c r="S98" s="8">
        <f t="shared" si="186"/>
        <v>10</v>
      </c>
      <c r="T98" s="8">
        <f t="shared" si="186"/>
        <v>2.67</v>
      </c>
      <c r="U98" s="8">
        <f t="shared" si="186"/>
        <v>20</v>
      </c>
      <c r="V98" s="8">
        <f t="shared" si="186"/>
        <v>25</v>
      </c>
      <c r="W98" s="8">
        <f t="shared" si="186"/>
        <v>40</v>
      </c>
      <c r="X98" s="8" t="str">
        <f t="shared" si="186"/>
        <v>N</v>
      </c>
      <c r="Y98" s="8" t="str">
        <f t="shared" si="186"/>
        <v>N</v>
      </c>
      <c r="Z98" s="11"/>
      <c r="AA98" s="11"/>
      <c r="AB98" s="11"/>
      <c r="AC98" s="11"/>
    </row>
    <row r="99" spans="1:29" x14ac:dyDescent="0.25">
      <c r="A99" s="7" t="str">
        <f t="shared" ref="A99" si="187">+A98</f>
        <v>1D, square, phase</v>
      </c>
      <c r="B99" s="8">
        <f t="shared" si="177"/>
        <v>0.2</v>
      </c>
      <c r="C99" s="8">
        <f t="shared" si="177"/>
        <v>0.5</v>
      </c>
      <c r="D99" s="8">
        <f t="shared" si="177"/>
        <v>0.5000806581706726</v>
      </c>
      <c r="E99" s="8">
        <f t="shared" si="177"/>
        <v>0</v>
      </c>
      <c r="F99" s="8">
        <f t="shared" si="177"/>
        <v>-5.9523809523809521E-3</v>
      </c>
      <c r="G99" s="8">
        <f t="shared" si="177"/>
        <v>20.618556701030926</v>
      </c>
      <c r="H99" s="8">
        <f t="shared" si="177"/>
        <v>0.24796000000000001</v>
      </c>
      <c r="I99" s="8">
        <v>144000</v>
      </c>
      <c r="J99" s="8">
        <f t="shared" si="177"/>
        <v>0.28906275205678333</v>
      </c>
      <c r="K99" s="8">
        <f t="shared" si="177"/>
        <v>0</v>
      </c>
      <c r="L99" s="8">
        <f t="shared" si="177"/>
        <v>-5.6179775280898875E-3</v>
      </c>
      <c r="M99" s="8">
        <f t="shared" si="177"/>
        <v>20.618556701030926</v>
      </c>
      <c r="N99" s="8">
        <f t="shared" si="177"/>
        <v>0.17124309392265194</v>
      </c>
      <c r="O99" s="8">
        <v>156000</v>
      </c>
      <c r="P99" s="8">
        <f t="shared" si="177"/>
        <v>1</v>
      </c>
      <c r="Q99" s="8">
        <f t="shared" si="177"/>
        <v>2.9999999999999998E-14</v>
      </c>
      <c r="R99" s="8">
        <f t="shared" ref="R99:Y99" si="188">+R98</f>
        <v>0</v>
      </c>
      <c r="S99" s="8">
        <f t="shared" si="188"/>
        <v>10</v>
      </c>
      <c r="T99" s="8">
        <f t="shared" si="188"/>
        <v>2.67</v>
      </c>
      <c r="U99" s="8">
        <f t="shared" si="188"/>
        <v>20</v>
      </c>
      <c r="V99" s="8">
        <f t="shared" si="188"/>
        <v>25</v>
      </c>
      <c r="W99" s="8">
        <f t="shared" si="188"/>
        <v>40</v>
      </c>
      <c r="X99" s="8" t="str">
        <f t="shared" si="188"/>
        <v>N</v>
      </c>
      <c r="Y99" s="8" t="str">
        <f t="shared" si="188"/>
        <v>N</v>
      </c>
      <c r="Z99" s="11"/>
      <c r="AA99" s="11"/>
      <c r="AB99" s="11"/>
      <c r="AC99" s="11"/>
    </row>
    <row r="100" spans="1:29" x14ac:dyDescent="0.25">
      <c r="A100" s="7" t="str">
        <f t="shared" ref="A100" si="189">+A99</f>
        <v>1D, square, phase</v>
      </c>
      <c r="B100" s="8">
        <f t="shared" si="177"/>
        <v>0.2</v>
      </c>
      <c r="C100" s="8">
        <f t="shared" si="177"/>
        <v>0.5</v>
      </c>
      <c r="D100" s="8">
        <f t="shared" si="177"/>
        <v>0.5000806581706726</v>
      </c>
      <c r="E100" s="8">
        <f t="shared" si="177"/>
        <v>0</v>
      </c>
      <c r="F100" s="8">
        <f t="shared" si="177"/>
        <v>-5.9523809523809521E-3</v>
      </c>
      <c r="G100" s="8">
        <f t="shared" si="177"/>
        <v>20.618556701030926</v>
      </c>
      <c r="H100" s="8">
        <f t="shared" si="177"/>
        <v>0.24796000000000001</v>
      </c>
      <c r="I100" s="8">
        <v>145500</v>
      </c>
      <c r="J100" s="8">
        <f t="shared" si="177"/>
        <v>0.28906275205678333</v>
      </c>
      <c r="K100" s="8">
        <f t="shared" si="177"/>
        <v>0</v>
      </c>
      <c r="L100" s="8">
        <f t="shared" si="177"/>
        <v>-5.6179775280898875E-3</v>
      </c>
      <c r="M100" s="8">
        <f t="shared" si="177"/>
        <v>20.618556701030926</v>
      </c>
      <c r="N100" s="8">
        <f t="shared" si="177"/>
        <v>0.17124309392265194</v>
      </c>
      <c r="O100" s="8">
        <v>154500</v>
      </c>
      <c r="P100" s="8">
        <f t="shared" si="177"/>
        <v>1</v>
      </c>
      <c r="Q100" s="8">
        <f t="shared" si="177"/>
        <v>2.9999999999999998E-14</v>
      </c>
      <c r="R100" s="8">
        <f t="shared" ref="R100:Y100" si="190">+R99</f>
        <v>0</v>
      </c>
      <c r="S100" s="8">
        <f t="shared" si="190"/>
        <v>10</v>
      </c>
      <c r="T100" s="8">
        <f t="shared" si="190"/>
        <v>2.67</v>
      </c>
      <c r="U100" s="8">
        <f t="shared" si="190"/>
        <v>20</v>
      </c>
      <c r="V100" s="8">
        <f t="shared" si="190"/>
        <v>25</v>
      </c>
      <c r="W100" s="8">
        <f t="shared" si="190"/>
        <v>40</v>
      </c>
      <c r="X100" s="8" t="str">
        <f t="shared" si="190"/>
        <v>N</v>
      </c>
      <c r="Y100" s="8" t="str">
        <f t="shared" si="190"/>
        <v>N</v>
      </c>
      <c r="Z100" s="11"/>
      <c r="AA100" s="11"/>
      <c r="AB100" s="11"/>
      <c r="AC100" s="11"/>
    </row>
    <row r="101" spans="1:29" x14ac:dyDescent="0.25">
      <c r="A101" s="7" t="str">
        <f t="shared" ref="A101" si="191">+A100</f>
        <v>1D, square, phase</v>
      </c>
      <c r="B101" s="8">
        <f t="shared" si="177"/>
        <v>0.2</v>
      </c>
      <c r="C101" s="8">
        <f t="shared" si="177"/>
        <v>0.5</v>
      </c>
      <c r="D101" s="8">
        <f t="shared" si="177"/>
        <v>0.5000806581706726</v>
      </c>
      <c r="E101" s="8">
        <f t="shared" si="177"/>
        <v>0</v>
      </c>
      <c r="F101" s="8">
        <f t="shared" si="177"/>
        <v>-5.9523809523809521E-3</v>
      </c>
      <c r="G101" s="8">
        <f t="shared" si="177"/>
        <v>20.618556701030926</v>
      </c>
      <c r="H101" s="8">
        <f t="shared" si="177"/>
        <v>0.24796000000000001</v>
      </c>
      <c r="I101" s="8">
        <v>147000</v>
      </c>
      <c r="J101" s="8">
        <f t="shared" si="177"/>
        <v>0.28906275205678333</v>
      </c>
      <c r="K101" s="8">
        <f t="shared" si="177"/>
        <v>0</v>
      </c>
      <c r="L101" s="8">
        <f t="shared" si="177"/>
        <v>-5.6179775280898875E-3</v>
      </c>
      <c r="M101" s="8">
        <f t="shared" si="177"/>
        <v>20.618556701030926</v>
      </c>
      <c r="N101" s="8">
        <f t="shared" si="177"/>
        <v>0.17124309392265194</v>
      </c>
      <c r="O101" s="8">
        <v>153000</v>
      </c>
      <c r="P101" s="8">
        <f t="shared" si="177"/>
        <v>1</v>
      </c>
      <c r="Q101" s="8">
        <f t="shared" si="177"/>
        <v>2.9999999999999998E-14</v>
      </c>
      <c r="R101" s="8">
        <f t="shared" ref="R101:Y101" si="192">+R100</f>
        <v>0</v>
      </c>
      <c r="S101" s="8">
        <f t="shared" si="192"/>
        <v>10</v>
      </c>
      <c r="T101" s="8">
        <f t="shared" si="192"/>
        <v>2.67</v>
      </c>
      <c r="U101" s="8">
        <f t="shared" si="192"/>
        <v>20</v>
      </c>
      <c r="V101" s="8">
        <f t="shared" si="192"/>
        <v>25</v>
      </c>
      <c r="W101" s="8">
        <f t="shared" si="192"/>
        <v>40</v>
      </c>
      <c r="X101" s="8" t="str">
        <f t="shared" si="192"/>
        <v>N</v>
      </c>
      <c r="Y101" s="8" t="str">
        <f t="shared" si="192"/>
        <v>N</v>
      </c>
      <c r="Z101" s="11"/>
      <c r="AA101" s="11"/>
      <c r="AB101" s="11"/>
      <c r="AC101" s="11"/>
    </row>
    <row r="102" spans="1:29" x14ac:dyDescent="0.25">
      <c r="A102" s="7" t="str">
        <f t="shared" ref="A102" si="193">+A101</f>
        <v>1D, square, phase</v>
      </c>
      <c r="B102" s="8">
        <f t="shared" si="177"/>
        <v>0.2</v>
      </c>
      <c r="C102" s="8">
        <f t="shared" si="177"/>
        <v>0.5</v>
      </c>
      <c r="D102" s="8">
        <f t="shared" si="177"/>
        <v>0.5000806581706726</v>
      </c>
      <c r="E102" s="8">
        <f t="shared" si="177"/>
        <v>0</v>
      </c>
      <c r="F102" s="8">
        <f t="shared" si="177"/>
        <v>-5.9523809523809521E-3</v>
      </c>
      <c r="G102" s="8">
        <f t="shared" si="177"/>
        <v>20.618556701030926</v>
      </c>
      <c r="H102" s="8">
        <f t="shared" si="177"/>
        <v>0.24796000000000001</v>
      </c>
      <c r="I102" s="8">
        <v>148500</v>
      </c>
      <c r="J102" s="8">
        <f t="shared" si="177"/>
        <v>0.28906275205678333</v>
      </c>
      <c r="K102" s="8">
        <f t="shared" si="177"/>
        <v>0</v>
      </c>
      <c r="L102" s="8">
        <f t="shared" si="177"/>
        <v>-5.6179775280898875E-3</v>
      </c>
      <c r="M102" s="8">
        <f t="shared" si="177"/>
        <v>20.618556701030926</v>
      </c>
      <c r="N102" s="8">
        <f t="shared" si="177"/>
        <v>0.17124309392265194</v>
      </c>
      <c r="O102" s="8">
        <v>151500</v>
      </c>
      <c r="P102" s="8">
        <f t="shared" si="177"/>
        <v>1</v>
      </c>
      <c r="Q102" s="8">
        <f t="shared" si="177"/>
        <v>2.9999999999999998E-14</v>
      </c>
      <c r="R102" s="8">
        <f t="shared" ref="R102:Y102" si="194">+R101</f>
        <v>0</v>
      </c>
      <c r="S102" s="8">
        <f t="shared" si="194"/>
        <v>10</v>
      </c>
      <c r="T102" s="8">
        <f t="shared" si="194"/>
        <v>2.67</v>
      </c>
      <c r="U102" s="8">
        <f t="shared" si="194"/>
        <v>20</v>
      </c>
      <c r="V102" s="8">
        <f t="shared" si="194"/>
        <v>25</v>
      </c>
      <c r="W102" s="8">
        <f t="shared" si="194"/>
        <v>40</v>
      </c>
      <c r="X102" s="8" t="str">
        <f t="shared" si="194"/>
        <v>N</v>
      </c>
      <c r="Y102" s="8" t="str">
        <f t="shared" si="194"/>
        <v>N</v>
      </c>
      <c r="Z102" s="11"/>
      <c r="AA102" s="11"/>
      <c r="AB102" s="11"/>
      <c r="AC102" s="11"/>
    </row>
    <row r="103" spans="1:29" x14ac:dyDescent="0.25">
      <c r="A103" s="7" t="str">
        <f t="shared" ref="A103" si="195">+A102</f>
        <v>1D, square, phase</v>
      </c>
      <c r="B103" s="8">
        <f t="shared" si="177"/>
        <v>0.2</v>
      </c>
      <c r="C103" s="8">
        <f t="shared" si="177"/>
        <v>0.5</v>
      </c>
      <c r="D103" s="8">
        <f t="shared" si="177"/>
        <v>0.5000806581706726</v>
      </c>
      <c r="E103" s="8">
        <f t="shared" si="177"/>
        <v>0</v>
      </c>
      <c r="F103" s="8">
        <f t="shared" si="177"/>
        <v>-5.9523809523809521E-3</v>
      </c>
      <c r="G103" s="8">
        <f t="shared" si="177"/>
        <v>20.618556701030926</v>
      </c>
      <c r="H103" s="8">
        <f t="shared" si="177"/>
        <v>0.24796000000000001</v>
      </c>
      <c r="I103" s="8">
        <v>150000</v>
      </c>
      <c r="J103" s="8">
        <f t="shared" si="177"/>
        <v>0.28906275205678333</v>
      </c>
      <c r="K103" s="8">
        <f t="shared" si="177"/>
        <v>0</v>
      </c>
      <c r="L103" s="8">
        <f t="shared" si="177"/>
        <v>-5.6179775280898875E-3</v>
      </c>
      <c r="M103" s="8">
        <f t="shared" si="177"/>
        <v>20.618556701030926</v>
      </c>
      <c r="N103" s="8">
        <f t="shared" si="177"/>
        <v>0.17124309392265194</v>
      </c>
      <c r="O103" s="8">
        <v>150000</v>
      </c>
      <c r="P103" s="8">
        <f t="shared" si="177"/>
        <v>1</v>
      </c>
      <c r="Q103" s="8">
        <f t="shared" si="177"/>
        <v>2.9999999999999998E-14</v>
      </c>
      <c r="R103" s="8">
        <f t="shared" ref="R103:Y103" si="196">+R102</f>
        <v>0</v>
      </c>
      <c r="S103" s="8">
        <f t="shared" si="196"/>
        <v>10</v>
      </c>
      <c r="T103" s="8">
        <f t="shared" si="196"/>
        <v>2.67</v>
      </c>
      <c r="U103" s="8">
        <f t="shared" si="196"/>
        <v>20</v>
      </c>
      <c r="V103" s="8">
        <f t="shared" si="196"/>
        <v>25</v>
      </c>
      <c r="W103" s="8">
        <f t="shared" si="196"/>
        <v>40</v>
      </c>
      <c r="X103" s="8" t="str">
        <f t="shared" si="196"/>
        <v>N</v>
      </c>
      <c r="Y103" s="8" t="str">
        <f t="shared" si="196"/>
        <v>N</v>
      </c>
      <c r="Z103" s="11"/>
      <c r="AA103" s="11"/>
      <c r="AB103" s="11"/>
      <c r="AC103" s="11"/>
    </row>
    <row r="104" spans="1:29" x14ac:dyDescent="0.25">
      <c r="A104" s="7" t="str">
        <f t="shared" ref="A104" si="197">+A103</f>
        <v>1D, square, phase</v>
      </c>
      <c r="B104" s="8">
        <f t="shared" si="177"/>
        <v>0.2</v>
      </c>
      <c r="C104" s="8">
        <f t="shared" si="177"/>
        <v>0.5</v>
      </c>
      <c r="D104" s="8">
        <f t="shared" si="177"/>
        <v>0.5000806581706726</v>
      </c>
      <c r="E104" s="8">
        <f t="shared" si="177"/>
        <v>0</v>
      </c>
      <c r="F104" s="8">
        <f t="shared" si="177"/>
        <v>-5.9523809523809521E-3</v>
      </c>
      <c r="G104" s="8">
        <f t="shared" si="177"/>
        <v>20.618556701030926</v>
      </c>
      <c r="H104" s="8">
        <f t="shared" si="177"/>
        <v>0.24796000000000001</v>
      </c>
      <c r="I104" s="8">
        <v>151500</v>
      </c>
      <c r="J104" s="8">
        <f t="shared" si="177"/>
        <v>0.28906275205678333</v>
      </c>
      <c r="K104" s="8">
        <f t="shared" si="177"/>
        <v>0</v>
      </c>
      <c r="L104" s="8">
        <f t="shared" si="177"/>
        <v>-5.6179775280898875E-3</v>
      </c>
      <c r="M104" s="8">
        <f t="shared" si="177"/>
        <v>20.618556701030926</v>
      </c>
      <c r="N104" s="8">
        <f t="shared" si="177"/>
        <v>0.17124309392265194</v>
      </c>
      <c r="O104" s="8">
        <v>148500</v>
      </c>
      <c r="P104" s="8">
        <f t="shared" si="177"/>
        <v>1</v>
      </c>
      <c r="Q104" s="8">
        <f t="shared" si="177"/>
        <v>2.9999999999999998E-14</v>
      </c>
      <c r="R104" s="8">
        <f t="shared" ref="R104:Y104" si="198">+R103</f>
        <v>0</v>
      </c>
      <c r="S104" s="8">
        <f t="shared" si="198"/>
        <v>10</v>
      </c>
      <c r="T104" s="8">
        <f t="shared" si="198"/>
        <v>2.67</v>
      </c>
      <c r="U104" s="8">
        <f t="shared" si="198"/>
        <v>20</v>
      </c>
      <c r="V104" s="8">
        <f t="shared" si="198"/>
        <v>25</v>
      </c>
      <c r="W104" s="8">
        <f t="shared" si="198"/>
        <v>40</v>
      </c>
      <c r="X104" s="8" t="str">
        <f t="shared" si="198"/>
        <v>N</v>
      </c>
      <c r="Y104" s="8" t="str">
        <f t="shared" si="198"/>
        <v>N</v>
      </c>
      <c r="Z104" s="11"/>
      <c r="AA104" s="11"/>
      <c r="AB104" s="11"/>
      <c r="AC104" s="11"/>
    </row>
    <row r="105" spans="1:29" x14ac:dyDescent="0.25">
      <c r="A105" s="7" t="str">
        <f t="shared" ref="A105" si="199">+A104</f>
        <v>1D, square, phase</v>
      </c>
      <c r="B105" s="8">
        <f t="shared" si="177"/>
        <v>0.2</v>
      </c>
      <c r="C105" s="8">
        <f t="shared" si="177"/>
        <v>0.5</v>
      </c>
      <c r="D105" s="8">
        <f t="shared" si="177"/>
        <v>0.5000806581706726</v>
      </c>
      <c r="E105" s="8">
        <f t="shared" si="177"/>
        <v>0</v>
      </c>
      <c r="F105" s="8">
        <f t="shared" si="177"/>
        <v>-5.9523809523809521E-3</v>
      </c>
      <c r="G105" s="8">
        <f t="shared" si="177"/>
        <v>20.618556701030926</v>
      </c>
      <c r="H105" s="8">
        <f t="shared" si="177"/>
        <v>0.24796000000000001</v>
      </c>
      <c r="I105" s="8">
        <v>153000</v>
      </c>
      <c r="J105" s="8">
        <f t="shared" si="177"/>
        <v>0.28906275205678333</v>
      </c>
      <c r="K105" s="8">
        <f t="shared" si="177"/>
        <v>0</v>
      </c>
      <c r="L105" s="8">
        <f t="shared" si="177"/>
        <v>-5.6179775280898875E-3</v>
      </c>
      <c r="M105" s="8">
        <f t="shared" si="177"/>
        <v>20.618556701030926</v>
      </c>
      <c r="N105" s="8">
        <f t="shared" si="177"/>
        <v>0.17124309392265194</v>
      </c>
      <c r="O105" s="8">
        <v>147000</v>
      </c>
      <c r="P105" s="8">
        <f t="shared" si="177"/>
        <v>1</v>
      </c>
      <c r="Q105" s="8">
        <f t="shared" si="177"/>
        <v>2.9999999999999998E-14</v>
      </c>
      <c r="R105" s="8">
        <f t="shared" ref="R105:Y105" si="200">+R104</f>
        <v>0</v>
      </c>
      <c r="S105" s="8">
        <f t="shared" si="200"/>
        <v>10</v>
      </c>
      <c r="T105" s="8">
        <f t="shared" si="200"/>
        <v>2.67</v>
      </c>
      <c r="U105" s="8">
        <f t="shared" si="200"/>
        <v>20</v>
      </c>
      <c r="V105" s="8">
        <f t="shared" si="200"/>
        <v>25</v>
      </c>
      <c r="W105" s="8">
        <f t="shared" si="200"/>
        <v>40</v>
      </c>
      <c r="X105" s="8" t="str">
        <f t="shared" si="200"/>
        <v>N</v>
      </c>
      <c r="Y105" s="8" t="str">
        <f t="shared" si="200"/>
        <v>N</v>
      </c>
      <c r="Z105" s="11"/>
      <c r="AA105" s="11"/>
      <c r="AB105" s="11"/>
      <c r="AC105" s="11"/>
    </row>
    <row r="106" spans="1:29" x14ac:dyDescent="0.25">
      <c r="A106" s="7" t="str">
        <f t="shared" ref="A106" si="201">+A105</f>
        <v>1D, square, phase</v>
      </c>
      <c r="B106" s="8">
        <f t="shared" si="177"/>
        <v>0.2</v>
      </c>
      <c r="C106" s="8">
        <f t="shared" si="177"/>
        <v>0.5</v>
      </c>
      <c r="D106" s="8">
        <f t="shared" si="177"/>
        <v>0.5000806581706726</v>
      </c>
      <c r="E106" s="8">
        <f t="shared" si="177"/>
        <v>0</v>
      </c>
      <c r="F106" s="8">
        <f t="shared" si="177"/>
        <v>-5.9523809523809521E-3</v>
      </c>
      <c r="G106" s="8">
        <f t="shared" si="177"/>
        <v>20.618556701030926</v>
      </c>
      <c r="H106" s="8">
        <f t="shared" si="177"/>
        <v>0.24796000000000001</v>
      </c>
      <c r="I106" s="8">
        <v>154500</v>
      </c>
      <c r="J106" s="8">
        <f t="shared" si="177"/>
        <v>0.28906275205678333</v>
      </c>
      <c r="K106" s="8">
        <f t="shared" si="177"/>
        <v>0</v>
      </c>
      <c r="L106" s="8">
        <f t="shared" si="177"/>
        <v>-5.6179775280898875E-3</v>
      </c>
      <c r="M106" s="8">
        <f t="shared" si="177"/>
        <v>20.618556701030926</v>
      </c>
      <c r="N106" s="8">
        <f t="shared" si="177"/>
        <v>0.17124309392265194</v>
      </c>
      <c r="O106" s="8">
        <v>145500</v>
      </c>
      <c r="P106" s="8">
        <f t="shared" si="177"/>
        <v>1</v>
      </c>
      <c r="Q106" s="8">
        <f t="shared" si="177"/>
        <v>2.9999999999999998E-14</v>
      </c>
      <c r="R106" s="8">
        <f t="shared" ref="R106:Y106" si="202">+R105</f>
        <v>0</v>
      </c>
      <c r="S106" s="8">
        <f t="shared" si="202"/>
        <v>10</v>
      </c>
      <c r="T106" s="8">
        <f t="shared" si="202"/>
        <v>2.67</v>
      </c>
      <c r="U106" s="8">
        <f t="shared" si="202"/>
        <v>20</v>
      </c>
      <c r="V106" s="8">
        <f t="shared" si="202"/>
        <v>25</v>
      </c>
      <c r="W106" s="8">
        <f t="shared" si="202"/>
        <v>40</v>
      </c>
      <c r="X106" s="8" t="str">
        <f t="shared" si="202"/>
        <v>N</v>
      </c>
      <c r="Y106" s="8" t="str">
        <f t="shared" si="202"/>
        <v>N</v>
      </c>
      <c r="Z106" s="11"/>
      <c r="AA106" s="11"/>
      <c r="AB106" s="11"/>
      <c r="AC106" s="11"/>
    </row>
    <row r="107" spans="1:29" x14ac:dyDescent="0.25">
      <c r="A107" s="7" t="str">
        <f t="shared" ref="A107" si="203">+A106</f>
        <v>1D, square, phase</v>
      </c>
      <c r="B107" s="8">
        <f t="shared" si="177"/>
        <v>0.2</v>
      </c>
      <c r="C107" s="8">
        <f t="shared" si="177"/>
        <v>0.5</v>
      </c>
      <c r="D107" s="8">
        <f t="shared" si="177"/>
        <v>0.5000806581706726</v>
      </c>
      <c r="E107" s="8">
        <f t="shared" si="177"/>
        <v>0</v>
      </c>
      <c r="F107" s="8">
        <f t="shared" si="177"/>
        <v>-5.9523809523809521E-3</v>
      </c>
      <c r="G107" s="8">
        <f t="shared" si="177"/>
        <v>20.618556701030926</v>
      </c>
      <c r="H107" s="8">
        <f t="shared" si="177"/>
        <v>0.24796000000000001</v>
      </c>
      <c r="I107" s="8">
        <v>156000</v>
      </c>
      <c r="J107" s="8">
        <f t="shared" si="177"/>
        <v>0.28906275205678333</v>
      </c>
      <c r="K107" s="8">
        <f t="shared" si="177"/>
        <v>0</v>
      </c>
      <c r="L107" s="8">
        <f t="shared" si="177"/>
        <v>-5.6179775280898875E-3</v>
      </c>
      <c r="M107" s="8">
        <f t="shared" si="177"/>
        <v>20.618556701030926</v>
      </c>
      <c r="N107" s="8">
        <f t="shared" si="177"/>
        <v>0.17124309392265194</v>
      </c>
      <c r="O107" s="8">
        <v>144000</v>
      </c>
      <c r="P107" s="8">
        <f t="shared" si="177"/>
        <v>1</v>
      </c>
      <c r="Q107" s="8">
        <f t="shared" si="177"/>
        <v>2.9999999999999998E-14</v>
      </c>
      <c r="R107" s="8">
        <f t="shared" ref="R107:Y107" si="204">+R106</f>
        <v>0</v>
      </c>
      <c r="S107" s="8">
        <f t="shared" si="204"/>
        <v>10</v>
      </c>
      <c r="T107" s="8">
        <f t="shared" si="204"/>
        <v>2.67</v>
      </c>
      <c r="U107" s="8">
        <f t="shared" si="204"/>
        <v>20</v>
      </c>
      <c r="V107" s="8">
        <f t="shared" si="204"/>
        <v>25</v>
      </c>
      <c r="W107" s="8">
        <f t="shared" si="204"/>
        <v>40</v>
      </c>
      <c r="X107" s="8" t="str">
        <f t="shared" si="204"/>
        <v>N</v>
      </c>
      <c r="Y107" s="8" t="str">
        <f t="shared" si="204"/>
        <v>N</v>
      </c>
      <c r="Z107" s="11"/>
      <c r="AA107" s="11"/>
      <c r="AB107" s="11"/>
      <c r="AC107" s="11"/>
    </row>
    <row r="108" spans="1:29" x14ac:dyDescent="0.25">
      <c r="A108" s="7" t="str">
        <f t="shared" ref="A108" si="205">+A107</f>
        <v>1D, square, phase</v>
      </c>
      <c r="B108" s="8">
        <f t="shared" si="177"/>
        <v>0.2</v>
      </c>
      <c r="C108" s="8">
        <f t="shared" si="177"/>
        <v>0.5</v>
      </c>
      <c r="D108" s="8">
        <f t="shared" si="177"/>
        <v>0.5000806581706726</v>
      </c>
      <c r="E108" s="8">
        <f t="shared" si="177"/>
        <v>0</v>
      </c>
      <c r="F108" s="8">
        <f t="shared" si="177"/>
        <v>-5.9523809523809521E-3</v>
      </c>
      <c r="G108" s="8">
        <f t="shared" si="177"/>
        <v>20.618556701030926</v>
      </c>
      <c r="H108" s="8">
        <f t="shared" si="177"/>
        <v>0.24796000000000001</v>
      </c>
      <c r="I108" s="8">
        <v>157500</v>
      </c>
      <c r="J108" s="8">
        <f t="shared" si="177"/>
        <v>0.28906275205678333</v>
      </c>
      <c r="K108" s="8">
        <f t="shared" si="177"/>
        <v>0</v>
      </c>
      <c r="L108" s="8">
        <f t="shared" si="177"/>
        <v>-5.6179775280898875E-3</v>
      </c>
      <c r="M108" s="8">
        <f t="shared" si="177"/>
        <v>20.618556701030926</v>
      </c>
      <c r="N108" s="8">
        <f t="shared" si="177"/>
        <v>0.17124309392265194</v>
      </c>
      <c r="O108" s="8">
        <v>142500</v>
      </c>
      <c r="P108" s="8">
        <f t="shared" si="177"/>
        <v>1</v>
      </c>
      <c r="Q108" s="8">
        <f t="shared" si="177"/>
        <v>2.9999999999999998E-14</v>
      </c>
      <c r="R108" s="8">
        <f t="shared" ref="R108:Y108" si="206">+R107</f>
        <v>0</v>
      </c>
      <c r="S108" s="8">
        <f t="shared" si="206"/>
        <v>10</v>
      </c>
      <c r="T108" s="8">
        <f t="shared" si="206"/>
        <v>2.67</v>
      </c>
      <c r="U108" s="8">
        <f t="shared" si="206"/>
        <v>20</v>
      </c>
      <c r="V108" s="8">
        <f t="shared" si="206"/>
        <v>25</v>
      </c>
      <c r="W108" s="8">
        <f t="shared" si="206"/>
        <v>40</v>
      </c>
      <c r="X108" s="8" t="str">
        <f t="shared" si="206"/>
        <v>N</v>
      </c>
      <c r="Y108" s="8" t="str">
        <f t="shared" si="206"/>
        <v>N</v>
      </c>
      <c r="Z108" s="11"/>
      <c r="AA108" s="11"/>
      <c r="AB108" s="11"/>
      <c r="AC108" s="11"/>
    </row>
    <row r="109" spans="1:29" x14ac:dyDescent="0.25">
      <c r="A109" s="7" t="str">
        <f t="shared" ref="A109" si="207">+A108</f>
        <v>1D, square, phase</v>
      </c>
      <c r="B109" s="8">
        <f t="shared" si="177"/>
        <v>0.2</v>
      </c>
      <c r="C109" s="8">
        <f t="shared" si="177"/>
        <v>0.5</v>
      </c>
      <c r="D109" s="8">
        <f t="shared" si="177"/>
        <v>0.5000806581706726</v>
      </c>
      <c r="E109" s="8">
        <f t="shared" si="177"/>
        <v>0</v>
      </c>
      <c r="F109" s="8">
        <f t="shared" si="177"/>
        <v>-5.9523809523809521E-3</v>
      </c>
      <c r="G109" s="8">
        <f t="shared" si="177"/>
        <v>20.618556701030926</v>
      </c>
      <c r="H109" s="8">
        <f t="shared" si="177"/>
        <v>0.24796000000000001</v>
      </c>
      <c r="I109" s="8">
        <v>159000</v>
      </c>
      <c r="J109" s="8">
        <f t="shared" si="177"/>
        <v>0.28906275205678333</v>
      </c>
      <c r="K109" s="8">
        <f t="shared" si="177"/>
        <v>0</v>
      </c>
      <c r="L109" s="8">
        <f t="shared" si="177"/>
        <v>-5.6179775280898875E-3</v>
      </c>
      <c r="M109" s="8">
        <f t="shared" si="177"/>
        <v>20.618556701030926</v>
      </c>
      <c r="N109" s="8">
        <f t="shared" si="177"/>
        <v>0.17124309392265194</v>
      </c>
      <c r="O109" s="8">
        <v>141000</v>
      </c>
      <c r="P109" s="8">
        <f t="shared" si="177"/>
        <v>1</v>
      </c>
      <c r="Q109" s="8">
        <f t="shared" ref="Q109:Y109" si="208">+Q108</f>
        <v>2.9999999999999998E-14</v>
      </c>
      <c r="R109" s="8">
        <f t="shared" si="208"/>
        <v>0</v>
      </c>
      <c r="S109" s="8">
        <f t="shared" si="208"/>
        <v>10</v>
      </c>
      <c r="T109" s="8">
        <f t="shared" si="208"/>
        <v>2.67</v>
      </c>
      <c r="U109" s="8">
        <f t="shared" si="208"/>
        <v>20</v>
      </c>
      <c r="V109" s="8">
        <f t="shared" si="208"/>
        <v>25</v>
      </c>
      <c r="W109" s="8">
        <f t="shared" si="208"/>
        <v>40</v>
      </c>
      <c r="X109" s="8" t="str">
        <f t="shared" si="208"/>
        <v>N</v>
      </c>
      <c r="Y109" s="8" t="str">
        <f t="shared" si="208"/>
        <v>N</v>
      </c>
      <c r="Z109" s="11"/>
      <c r="AA109" s="11"/>
      <c r="AB109" s="11"/>
      <c r="AC109" s="11"/>
    </row>
    <row r="110" spans="1:29" x14ac:dyDescent="0.25">
      <c r="A110" s="7" t="str">
        <f t="shared" ref="A110" si="209">+A109</f>
        <v>1D, square, phase</v>
      </c>
      <c r="B110" s="8">
        <f t="shared" ref="B110:Q125" si="210">+B109</f>
        <v>0.2</v>
      </c>
      <c r="C110" s="8">
        <f t="shared" si="210"/>
        <v>0.5</v>
      </c>
      <c r="D110" s="8">
        <f t="shared" si="210"/>
        <v>0.5000806581706726</v>
      </c>
      <c r="E110" s="8">
        <f t="shared" si="210"/>
        <v>0</v>
      </c>
      <c r="F110" s="8">
        <f t="shared" si="210"/>
        <v>-5.9523809523809521E-3</v>
      </c>
      <c r="G110" s="8">
        <f t="shared" si="210"/>
        <v>20.618556701030926</v>
      </c>
      <c r="H110" s="8">
        <f t="shared" si="210"/>
        <v>0.24796000000000001</v>
      </c>
      <c r="I110" s="8">
        <v>160500</v>
      </c>
      <c r="J110" s="8">
        <f t="shared" si="210"/>
        <v>0.28906275205678333</v>
      </c>
      <c r="K110" s="8">
        <f t="shared" si="210"/>
        <v>0</v>
      </c>
      <c r="L110" s="8">
        <f t="shared" si="210"/>
        <v>-5.6179775280898875E-3</v>
      </c>
      <c r="M110" s="8">
        <f t="shared" si="210"/>
        <v>20.618556701030926</v>
      </c>
      <c r="N110" s="8">
        <f t="shared" si="210"/>
        <v>0.17124309392265194</v>
      </c>
      <c r="O110" s="8">
        <v>139500</v>
      </c>
      <c r="P110" s="8">
        <f t="shared" si="210"/>
        <v>1</v>
      </c>
      <c r="Q110" s="8">
        <f t="shared" si="210"/>
        <v>2.9999999999999998E-14</v>
      </c>
      <c r="R110" s="8">
        <f t="shared" ref="R110:Y110" si="211">+R109</f>
        <v>0</v>
      </c>
      <c r="S110" s="8">
        <f t="shared" si="211"/>
        <v>10</v>
      </c>
      <c r="T110" s="8">
        <f t="shared" si="211"/>
        <v>2.67</v>
      </c>
      <c r="U110" s="8">
        <f t="shared" si="211"/>
        <v>20</v>
      </c>
      <c r="V110" s="8">
        <f t="shared" si="211"/>
        <v>25</v>
      </c>
      <c r="W110" s="8">
        <f t="shared" si="211"/>
        <v>40</v>
      </c>
      <c r="X110" s="8" t="str">
        <f t="shared" si="211"/>
        <v>N</v>
      </c>
      <c r="Y110" s="8" t="str">
        <f t="shared" si="211"/>
        <v>N</v>
      </c>
      <c r="Z110" s="11"/>
      <c r="AA110" s="11"/>
      <c r="AB110" s="11"/>
      <c r="AC110" s="11"/>
    </row>
    <row r="111" spans="1:29" x14ac:dyDescent="0.25">
      <c r="A111" s="7" t="str">
        <f t="shared" ref="A111" si="212">+A110</f>
        <v>1D, square, phase</v>
      </c>
      <c r="B111" s="8">
        <f t="shared" si="210"/>
        <v>0.2</v>
      </c>
      <c r="C111" s="8">
        <f t="shared" si="210"/>
        <v>0.5</v>
      </c>
      <c r="D111" s="8">
        <f t="shared" si="210"/>
        <v>0.5000806581706726</v>
      </c>
      <c r="E111" s="8">
        <f t="shared" si="210"/>
        <v>0</v>
      </c>
      <c r="F111" s="8">
        <f t="shared" si="210"/>
        <v>-5.9523809523809521E-3</v>
      </c>
      <c r="G111" s="8">
        <f t="shared" si="210"/>
        <v>20.618556701030926</v>
      </c>
      <c r="H111" s="8">
        <f t="shared" si="210"/>
        <v>0.24796000000000001</v>
      </c>
      <c r="I111" s="8">
        <v>162000</v>
      </c>
      <c r="J111" s="8">
        <f t="shared" si="210"/>
        <v>0.28906275205678333</v>
      </c>
      <c r="K111" s="8">
        <f t="shared" si="210"/>
        <v>0</v>
      </c>
      <c r="L111" s="8">
        <f t="shared" si="210"/>
        <v>-5.6179775280898875E-3</v>
      </c>
      <c r="M111" s="8">
        <f t="shared" si="210"/>
        <v>20.618556701030926</v>
      </c>
      <c r="N111" s="8">
        <f t="shared" si="210"/>
        <v>0.17124309392265194</v>
      </c>
      <c r="O111" s="8">
        <v>138000</v>
      </c>
      <c r="P111" s="8">
        <f t="shared" si="210"/>
        <v>1</v>
      </c>
      <c r="Q111" s="8">
        <f t="shared" si="210"/>
        <v>2.9999999999999998E-14</v>
      </c>
      <c r="R111" s="8">
        <f t="shared" ref="R111:Y111" si="213">+R110</f>
        <v>0</v>
      </c>
      <c r="S111" s="8">
        <f t="shared" si="213"/>
        <v>10</v>
      </c>
      <c r="T111" s="8">
        <f t="shared" si="213"/>
        <v>2.67</v>
      </c>
      <c r="U111" s="8">
        <f t="shared" si="213"/>
        <v>20</v>
      </c>
      <c r="V111" s="8">
        <f t="shared" si="213"/>
        <v>25</v>
      </c>
      <c r="W111" s="8">
        <f t="shared" si="213"/>
        <v>40</v>
      </c>
      <c r="X111" s="8" t="str">
        <f t="shared" si="213"/>
        <v>N</v>
      </c>
      <c r="Y111" s="8" t="str">
        <f t="shared" si="213"/>
        <v>N</v>
      </c>
      <c r="Z111" s="11"/>
      <c r="AA111" s="11"/>
      <c r="AB111" s="11"/>
      <c r="AC111" s="11"/>
    </row>
    <row r="112" spans="1:29" x14ac:dyDescent="0.25">
      <c r="A112" s="7" t="str">
        <f t="shared" ref="A112" si="214">+A111</f>
        <v>1D, square, phase</v>
      </c>
      <c r="B112" s="8">
        <f t="shared" si="210"/>
        <v>0.2</v>
      </c>
      <c r="C112" s="8">
        <f t="shared" si="210"/>
        <v>0.5</v>
      </c>
      <c r="D112" s="8">
        <f t="shared" si="210"/>
        <v>0.5000806581706726</v>
      </c>
      <c r="E112" s="8">
        <f t="shared" si="210"/>
        <v>0</v>
      </c>
      <c r="F112" s="8">
        <f t="shared" si="210"/>
        <v>-5.9523809523809521E-3</v>
      </c>
      <c r="G112" s="8">
        <f t="shared" si="210"/>
        <v>20.618556701030926</v>
      </c>
      <c r="H112" s="8">
        <f t="shared" si="210"/>
        <v>0.24796000000000001</v>
      </c>
      <c r="I112" s="8">
        <v>163500</v>
      </c>
      <c r="J112" s="8">
        <f t="shared" si="210"/>
        <v>0.28906275205678333</v>
      </c>
      <c r="K112" s="8">
        <f t="shared" si="210"/>
        <v>0</v>
      </c>
      <c r="L112" s="8">
        <f t="shared" si="210"/>
        <v>-5.6179775280898875E-3</v>
      </c>
      <c r="M112" s="8">
        <f t="shared" si="210"/>
        <v>20.618556701030926</v>
      </c>
      <c r="N112" s="8">
        <f t="shared" si="210"/>
        <v>0.17124309392265194</v>
      </c>
      <c r="O112" s="8">
        <v>136500</v>
      </c>
      <c r="P112" s="8">
        <f t="shared" si="210"/>
        <v>1</v>
      </c>
      <c r="Q112" s="8">
        <f t="shared" si="210"/>
        <v>2.9999999999999998E-14</v>
      </c>
      <c r="R112" s="8">
        <f t="shared" ref="R112:Y112" si="215">+R111</f>
        <v>0</v>
      </c>
      <c r="S112" s="8">
        <f t="shared" si="215"/>
        <v>10</v>
      </c>
      <c r="T112" s="8">
        <f t="shared" si="215"/>
        <v>2.67</v>
      </c>
      <c r="U112" s="8">
        <f t="shared" si="215"/>
        <v>20</v>
      </c>
      <c r="V112" s="8">
        <f t="shared" si="215"/>
        <v>25</v>
      </c>
      <c r="W112" s="8">
        <f t="shared" si="215"/>
        <v>40</v>
      </c>
      <c r="X112" s="8" t="str">
        <f t="shared" si="215"/>
        <v>N</v>
      </c>
      <c r="Y112" s="8" t="str">
        <f t="shared" si="215"/>
        <v>N</v>
      </c>
      <c r="Z112" s="11"/>
      <c r="AA112" s="11"/>
      <c r="AB112" s="11"/>
      <c r="AC112" s="11"/>
    </row>
    <row r="113" spans="1:29" x14ac:dyDescent="0.25">
      <c r="A113" s="7" t="str">
        <f t="shared" ref="A113" si="216">+A112</f>
        <v>1D, square, phase</v>
      </c>
      <c r="B113" s="8">
        <f t="shared" si="210"/>
        <v>0.2</v>
      </c>
      <c r="C113" s="8">
        <f t="shared" si="210"/>
        <v>0.5</v>
      </c>
      <c r="D113" s="8">
        <f t="shared" si="210"/>
        <v>0.5000806581706726</v>
      </c>
      <c r="E113" s="8">
        <f t="shared" si="210"/>
        <v>0</v>
      </c>
      <c r="F113" s="8">
        <f t="shared" si="210"/>
        <v>-5.9523809523809521E-3</v>
      </c>
      <c r="G113" s="8">
        <f t="shared" si="210"/>
        <v>20.618556701030926</v>
      </c>
      <c r="H113" s="8">
        <f t="shared" si="210"/>
        <v>0.24796000000000001</v>
      </c>
      <c r="I113" s="8">
        <v>165000</v>
      </c>
      <c r="J113" s="8">
        <f t="shared" si="210"/>
        <v>0.28906275205678333</v>
      </c>
      <c r="K113" s="8">
        <f t="shared" si="210"/>
        <v>0</v>
      </c>
      <c r="L113" s="8">
        <f t="shared" si="210"/>
        <v>-5.6179775280898875E-3</v>
      </c>
      <c r="M113" s="8">
        <f t="shared" si="210"/>
        <v>20.618556701030926</v>
      </c>
      <c r="N113" s="8">
        <f t="shared" si="210"/>
        <v>0.17124309392265194</v>
      </c>
      <c r="O113" s="8">
        <v>135000</v>
      </c>
      <c r="P113" s="8">
        <f t="shared" si="210"/>
        <v>1</v>
      </c>
      <c r="Q113" s="8">
        <f t="shared" si="210"/>
        <v>2.9999999999999998E-14</v>
      </c>
      <c r="R113" s="8">
        <f t="shared" ref="R113:Y113" si="217">+R112</f>
        <v>0</v>
      </c>
      <c r="S113" s="8">
        <f t="shared" si="217"/>
        <v>10</v>
      </c>
      <c r="T113" s="8">
        <f t="shared" si="217"/>
        <v>2.67</v>
      </c>
      <c r="U113" s="8">
        <f t="shared" si="217"/>
        <v>20</v>
      </c>
      <c r="V113" s="8">
        <f t="shared" si="217"/>
        <v>25</v>
      </c>
      <c r="W113" s="8">
        <f t="shared" si="217"/>
        <v>40</v>
      </c>
      <c r="X113" s="8" t="str">
        <f t="shared" si="217"/>
        <v>N</v>
      </c>
      <c r="Y113" s="8" t="str">
        <f t="shared" si="217"/>
        <v>N</v>
      </c>
      <c r="Z113" s="11"/>
      <c r="AA113" s="11"/>
      <c r="AB113" s="11"/>
      <c r="AC113" s="11"/>
    </row>
    <row r="114" spans="1:29" x14ac:dyDescent="0.25">
      <c r="A114" s="7" t="str">
        <f t="shared" ref="A114" si="218">+A113</f>
        <v>1D, square, phase</v>
      </c>
      <c r="B114" s="8">
        <f t="shared" si="210"/>
        <v>0.2</v>
      </c>
      <c r="C114" s="8">
        <f t="shared" si="210"/>
        <v>0.5</v>
      </c>
      <c r="D114" s="8">
        <f t="shared" si="210"/>
        <v>0.5000806581706726</v>
      </c>
      <c r="E114" s="8">
        <f t="shared" si="210"/>
        <v>0</v>
      </c>
      <c r="F114" s="8">
        <f t="shared" si="210"/>
        <v>-5.9523809523809521E-3</v>
      </c>
      <c r="G114" s="8">
        <f t="shared" si="210"/>
        <v>20.618556701030926</v>
      </c>
      <c r="H114" s="8">
        <f t="shared" si="210"/>
        <v>0.24796000000000001</v>
      </c>
      <c r="I114" s="8">
        <v>166500.00000000003</v>
      </c>
      <c r="J114" s="8">
        <f t="shared" si="210"/>
        <v>0.28906275205678333</v>
      </c>
      <c r="K114" s="8">
        <f t="shared" si="210"/>
        <v>0</v>
      </c>
      <c r="L114" s="8">
        <f t="shared" si="210"/>
        <v>-5.6179775280898875E-3</v>
      </c>
      <c r="M114" s="8">
        <f t="shared" si="210"/>
        <v>20.618556701030926</v>
      </c>
      <c r="N114" s="8">
        <f t="shared" si="210"/>
        <v>0.17124309392265194</v>
      </c>
      <c r="O114" s="8">
        <v>133499.99999999997</v>
      </c>
      <c r="P114" s="8">
        <f t="shared" si="210"/>
        <v>1</v>
      </c>
      <c r="Q114" s="8">
        <f t="shared" si="210"/>
        <v>2.9999999999999998E-14</v>
      </c>
      <c r="R114" s="8">
        <f t="shared" ref="R114:Y114" si="219">+R113</f>
        <v>0</v>
      </c>
      <c r="S114" s="8">
        <f t="shared" si="219"/>
        <v>10</v>
      </c>
      <c r="T114" s="8">
        <f t="shared" si="219"/>
        <v>2.67</v>
      </c>
      <c r="U114" s="8">
        <f t="shared" si="219"/>
        <v>20</v>
      </c>
      <c r="V114" s="8">
        <f t="shared" si="219"/>
        <v>25</v>
      </c>
      <c r="W114" s="8">
        <f t="shared" si="219"/>
        <v>40</v>
      </c>
      <c r="X114" s="8" t="str">
        <f t="shared" si="219"/>
        <v>N</v>
      </c>
      <c r="Y114" s="8" t="str">
        <f t="shared" si="219"/>
        <v>N</v>
      </c>
      <c r="Z114" s="11"/>
      <c r="AA114" s="11"/>
      <c r="AB114" s="11"/>
      <c r="AC114" s="11"/>
    </row>
    <row r="115" spans="1:29" x14ac:dyDescent="0.25">
      <c r="A115" s="7" t="str">
        <f t="shared" ref="A115" si="220">+A114</f>
        <v>1D, square, phase</v>
      </c>
      <c r="B115" s="8">
        <f t="shared" si="210"/>
        <v>0.2</v>
      </c>
      <c r="C115" s="8">
        <f t="shared" si="210"/>
        <v>0.5</v>
      </c>
      <c r="D115" s="8">
        <f t="shared" si="210"/>
        <v>0.5000806581706726</v>
      </c>
      <c r="E115" s="8">
        <f t="shared" si="210"/>
        <v>0</v>
      </c>
      <c r="F115" s="8">
        <f t="shared" si="210"/>
        <v>-5.9523809523809521E-3</v>
      </c>
      <c r="G115" s="8">
        <f t="shared" si="210"/>
        <v>20.618556701030926</v>
      </c>
      <c r="H115" s="8">
        <f t="shared" si="210"/>
        <v>0.24796000000000001</v>
      </c>
      <c r="I115" s="8">
        <v>168000.00000000003</v>
      </c>
      <c r="J115" s="8">
        <f t="shared" si="210"/>
        <v>0.28906275205678333</v>
      </c>
      <c r="K115" s="8">
        <f t="shared" si="210"/>
        <v>0</v>
      </c>
      <c r="L115" s="8">
        <f t="shared" si="210"/>
        <v>-5.6179775280898875E-3</v>
      </c>
      <c r="M115" s="8">
        <f t="shared" si="210"/>
        <v>20.618556701030926</v>
      </c>
      <c r="N115" s="8">
        <f t="shared" si="210"/>
        <v>0.17124309392265194</v>
      </c>
      <c r="O115" s="8">
        <v>131999.99999999997</v>
      </c>
      <c r="P115" s="8">
        <f t="shared" si="210"/>
        <v>1</v>
      </c>
      <c r="Q115" s="8">
        <f t="shared" si="210"/>
        <v>2.9999999999999998E-14</v>
      </c>
      <c r="R115" s="8">
        <f t="shared" ref="R115:Y115" si="221">+R114</f>
        <v>0</v>
      </c>
      <c r="S115" s="8">
        <f t="shared" si="221"/>
        <v>10</v>
      </c>
      <c r="T115" s="8">
        <f t="shared" si="221"/>
        <v>2.67</v>
      </c>
      <c r="U115" s="8">
        <f t="shared" si="221"/>
        <v>20</v>
      </c>
      <c r="V115" s="8">
        <f t="shared" si="221"/>
        <v>25</v>
      </c>
      <c r="W115" s="8">
        <f t="shared" si="221"/>
        <v>40</v>
      </c>
      <c r="X115" s="8" t="str">
        <f t="shared" si="221"/>
        <v>N</v>
      </c>
      <c r="Y115" s="8" t="str">
        <f t="shared" si="221"/>
        <v>N</v>
      </c>
      <c r="Z115" s="11"/>
      <c r="AA115" s="11"/>
      <c r="AB115" s="11"/>
      <c r="AC115" s="11"/>
    </row>
    <row r="116" spans="1:29" x14ac:dyDescent="0.25">
      <c r="A116" s="7" t="str">
        <f t="shared" ref="A116" si="222">+A115</f>
        <v>1D, square, phase</v>
      </c>
      <c r="B116" s="8">
        <f t="shared" si="210"/>
        <v>0.2</v>
      </c>
      <c r="C116" s="8">
        <f t="shared" si="210"/>
        <v>0.5</v>
      </c>
      <c r="D116" s="8">
        <f t="shared" si="210"/>
        <v>0.5000806581706726</v>
      </c>
      <c r="E116" s="8">
        <f t="shared" si="210"/>
        <v>0</v>
      </c>
      <c r="F116" s="8">
        <f t="shared" si="210"/>
        <v>-5.9523809523809521E-3</v>
      </c>
      <c r="G116" s="8">
        <f t="shared" si="210"/>
        <v>20.618556701030926</v>
      </c>
      <c r="H116" s="8">
        <f t="shared" si="210"/>
        <v>0.24796000000000001</v>
      </c>
      <c r="I116" s="8">
        <v>169500</v>
      </c>
      <c r="J116" s="8">
        <f t="shared" si="210"/>
        <v>0.28906275205678333</v>
      </c>
      <c r="K116" s="8">
        <f t="shared" si="210"/>
        <v>0</v>
      </c>
      <c r="L116" s="8">
        <f t="shared" si="210"/>
        <v>-5.6179775280898875E-3</v>
      </c>
      <c r="M116" s="8">
        <f t="shared" si="210"/>
        <v>20.618556701030926</v>
      </c>
      <c r="N116" s="8">
        <f t="shared" si="210"/>
        <v>0.17124309392265194</v>
      </c>
      <c r="O116" s="8">
        <v>130500.00000000001</v>
      </c>
      <c r="P116" s="8">
        <f t="shared" si="210"/>
        <v>1</v>
      </c>
      <c r="Q116" s="8">
        <f t="shared" si="210"/>
        <v>2.9999999999999998E-14</v>
      </c>
      <c r="R116" s="8">
        <f t="shared" ref="R116:Y116" si="223">+R115</f>
        <v>0</v>
      </c>
      <c r="S116" s="8">
        <f t="shared" si="223"/>
        <v>10</v>
      </c>
      <c r="T116" s="8">
        <f t="shared" si="223"/>
        <v>2.67</v>
      </c>
      <c r="U116" s="8">
        <f t="shared" si="223"/>
        <v>20</v>
      </c>
      <c r="V116" s="8">
        <f t="shared" si="223"/>
        <v>25</v>
      </c>
      <c r="W116" s="8">
        <f t="shared" si="223"/>
        <v>40</v>
      </c>
      <c r="X116" s="8" t="str">
        <f t="shared" si="223"/>
        <v>N</v>
      </c>
      <c r="Y116" s="8" t="str">
        <f t="shared" si="223"/>
        <v>N</v>
      </c>
      <c r="Z116" s="11"/>
      <c r="AA116" s="11"/>
      <c r="AB116" s="11"/>
      <c r="AC116" s="11"/>
    </row>
    <row r="117" spans="1:29" x14ac:dyDescent="0.25">
      <c r="A117" s="7" t="str">
        <f t="shared" ref="A117" si="224">+A116</f>
        <v>1D, square, phase</v>
      </c>
      <c r="B117" s="8">
        <f t="shared" si="210"/>
        <v>0.2</v>
      </c>
      <c r="C117" s="8">
        <f t="shared" si="210"/>
        <v>0.5</v>
      </c>
      <c r="D117" s="8">
        <f t="shared" si="210"/>
        <v>0.5000806581706726</v>
      </c>
      <c r="E117" s="8">
        <f t="shared" si="210"/>
        <v>0</v>
      </c>
      <c r="F117" s="8">
        <f t="shared" si="210"/>
        <v>-5.9523809523809521E-3</v>
      </c>
      <c r="G117" s="8">
        <f t="shared" si="210"/>
        <v>20.618556701030926</v>
      </c>
      <c r="H117" s="8">
        <f t="shared" si="210"/>
        <v>0.24796000000000001</v>
      </c>
      <c r="I117" s="8">
        <v>171000</v>
      </c>
      <c r="J117" s="8">
        <f t="shared" si="210"/>
        <v>0.28906275205678333</v>
      </c>
      <c r="K117" s="8">
        <f t="shared" si="210"/>
        <v>0</v>
      </c>
      <c r="L117" s="8">
        <f t="shared" si="210"/>
        <v>-5.6179775280898875E-3</v>
      </c>
      <c r="M117" s="8">
        <f t="shared" si="210"/>
        <v>20.618556701030926</v>
      </c>
      <c r="N117" s="8">
        <f t="shared" si="210"/>
        <v>0.17124309392265194</v>
      </c>
      <c r="O117" s="8">
        <v>129000.00000000001</v>
      </c>
      <c r="P117" s="8">
        <f t="shared" si="210"/>
        <v>1</v>
      </c>
      <c r="Q117" s="8">
        <f t="shared" si="210"/>
        <v>2.9999999999999998E-14</v>
      </c>
      <c r="R117" s="8">
        <f t="shared" ref="R117:Y117" si="225">+R116</f>
        <v>0</v>
      </c>
      <c r="S117" s="8">
        <f t="shared" si="225"/>
        <v>10</v>
      </c>
      <c r="T117" s="8">
        <f t="shared" si="225"/>
        <v>2.67</v>
      </c>
      <c r="U117" s="8">
        <f t="shared" si="225"/>
        <v>20</v>
      </c>
      <c r="V117" s="8">
        <f t="shared" si="225"/>
        <v>25</v>
      </c>
      <c r="W117" s="8">
        <f t="shared" si="225"/>
        <v>40</v>
      </c>
      <c r="X117" s="8" t="str">
        <f t="shared" si="225"/>
        <v>N</v>
      </c>
      <c r="Y117" s="8" t="str">
        <f t="shared" si="225"/>
        <v>N</v>
      </c>
      <c r="Z117" s="11"/>
      <c r="AA117" s="11"/>
      <c r="AB117" s="11"/>
      <c r="AC117" s="11"/>
    </row>
    <row r="118" spans="1:29" x14ac:dyDescent="0.25">
      <c r="A118" s="7" t="str">
        <f t="shared" ref="A118" si="226">+A117</f>
        <v>1D, square, phase</v>
      </c>
      <c r="B118" s="8">
        <f t="shared" si="210"/>
        <v>0.2</v>
      </c>
      <c r="C118" s="8">
        <f t="shared" si="210"/>
        <v>0.5</v>
      </c>
      <c r="D118" s="8">
        <f t="shared" si="210"/>
        <v>0.5000806581706726</v>
      </c>
      <c r="E118" s="8">
        <f t="shared" si="210"/>
        <v>0</v>
      </c>
      <c r="F118" s="8">
        <f t="shared" si="210"/>
        <v>-5.9523809523809521E-3</v>
      </c>
      <c r="G118" s="8">
        <f t="shared" si="210"/>
        <v>20.618556701030926</v>
      </c>
      <c r="H118" s="8">
        <f t="shared" si="210"/>
        <v>0.24796000000000001</v>
      </c>
      <c r="I118" s="8">
        <v>172500</v>
      </c>
      <c r="J118" s="8">
        <f t="shared" si="210"/>
        <v>0.28906275205678333</v>
      </c>
      <c r="K118" s="8">
        <f t="shared" si="210"/>
        <v>0</v>
      </c>
      <c r="L118" s="8">
        <f t="shared" si="210"/>
        <v>-5.6179775280898875E-3</v>
      </c>
      <c r="M118" s="8">
        <f t="shared" si="210"/>
        <v>20.618556701030926</v>
      </c>
      <c r="N118" s="8">
        <f t="shared" si="210"/>
        <v>0.17124309392265194</v>
      </c>
      <c r="O118" s="8">
        <v>127500.00000000001</v>
      </c>
      <c r="P118" s="8">
        <f t="shared" si="210"/>
        <v>1</v>
      </c>
      <c r="Q118" s="8">
        <f t="shared" si="210"/>
        <v>2.9999999999999998E-14</v>
      </c>
      <c r="R118" s="8">
        <f t="shared" ref="R118:Y118" si="227">+R117</f>
        <v>0</v>
      </c>
      <c r="S118" s="8">
        <f t="shared" si="227"/>
        <v>10</v>
      </c>
      <c r="T118" s="8">
        <f t="shared" si="227"/>
        <v>2.67</v>
      </c>
      <c r="U118" s="8">
        <f t="shared" si="227"/>
        <v>20</v>
      </c>
      <c r="V118" s="8">
        <f t="shared" si="227"/>
        <v>25</v>
      </c>
      <c r="W118" s="8">
        <f t="shared" si="227"/>
        <v>40</v>
      </c>
      <c r="X118" s="8" t="str">
        <f t="shared" si="227"/>
        <v>N</v>
      </c>
      <c r="Y118" s="8" t="str">
        <f t="shared" si="227"/>
        <v>N</v>
      </c>
      <c r="Z118" s="11"/>
      <c r="AA118" s="11"/>
      <c r="AB118" s="11"/>
      <c r="AC118" s="11"/>
    </row>
    <row r="119" spans="1:29" x14ac:dyDescent="0.25">
      <c r="A119" s="7" t="str">
        <f t="shared" ref="A119" si="228">+A118</f>
        <v>1D, square, phase</v>
      </c>
      <c r="B119" s="8">
        <f t="shared" si="210"/>
        <v>0.2</v>
      </c>
      <c r="C119" s="8">
        <f t="shared" si="210"/>
        <v>0.5</v>
      </c>
      <c r="D119" s="8">
        <f t="shared" si="210"/>
        <v>0.5000806581706726</v>
      </c>
      <c r="E119" s="8">
        <f t="shared" si="210"/>
        <v>0</v>
      </c>
      <c r="F119" s="8">
        <f t="shared" si="210"/>
        <v>-5.9523809523809521E-3</v>
      </c>
      <c r="G119" s="8">
        <f t="shared" si="210"/>
        <v>20.618556701030926</v>
      </c>
      <c r="H119" s="8">
        <f t="shared" si="210"/>
        <v>0.24796000000000001</v>
      </c>
      <c r="I119" s="8">
        <v>174000</v>
      </c>
      <c r="J119" s="8">
        <f t="shared" si="210"/>
        <v>0.28906275205678333</v>
      </c>
      <c r="K119" s="8">
        <f t="shared" si="210"/>
        <v>0</v>
      </c>
      <c r="L119" s="8">
        <f t="shared" si="210"/>
        <v>-5.6179775280898875E-3</v>
      </c>
      <c r="M119" s="8">
        <f t="shared" si="210"/>
        <v>20.618556701030926</v>
      </c>
      <c r="N119" s="8">
        <f t="shared" si="210"/>
        <v>0.17124309392265194</v>
      </c>
      <c r="O119" s="8">
        <v>126000.00000000001</v>
      </c>
      <c r="P119" s="8">
        <f t="shared" si="210"/>
        <v>1</v>
      </c>
      <c r="Q119" s="8">
        <f t="shared" si="210"/>
        <v>2.9999999999999998E-14</v>
      </c>
      <c r="R119" s="8">
        <f t="shared" ref="R119:Y119" si="229">+R118</f>
        <v>0</v>
      </c>
      <c r="S119" s="8">
        <f t="shared" si="229"/>
        <v>10</v>
      </c>
      <c r="T119" s="8">
        <f t="shared" si="229"/>
        <v>2.67</v>
      </c>
      <c r="U119" s="8">
        <f t="shared" si="229"/>
        <v>20</v>
      </c>
      <c r="V119" s="8">
        <f t="shared" si="229"/>
        <v>25</v>
      </c>
      <c r="W119" s="8">
        <f t="shared" si="229"/>
        <v>40</v>
      </c>
      <c r="X119" s="8" t="str">
        <f t="shared" si="229"/>
        <v>N</v>
      </c>
      <c r="Y119" s="8" t="str">
        <f t="shared" si="229"/>
        <v>N</v>
      </c>
      <c r="Z119" s="11"/>
      <c r="AA119" s="11"/>
      <c r="AB119" s="11"/>
      <c r="AC119" s="11"/>
    </row>
    <row r="120" spans="1:29" x14ac:dyDescent="0.25">
      <c r="A120" s="7" t="str">
        <f t="shared" ref="A120" si="230">+A119</f>
        <v>1D, square, phase</v>
      </c>
      <c r="B120" s="8">
        <f t="shared" si="210"/>
        <v>0.2</v>
      </c>
      <c r="C120" s="8">
        <f t="shared" si="210"/>
        <v>0.5</v>
      </c>
      <c r="D120" s="8">
        <f t="shared" si="210"/>
        <v>0.5000806581706726</v>
      </c>
      <c r="E120" s="8">
        <f t="shared" si="210"/>
        <v>0</v>
      </c>
      <c r="F120" s="8">
        <f t="shared" si="210"/>
        <v>-5.9523809523809521E-3</v>
      </c>
      <c r="G120" s="8">
        <f t="shared" si="210"/>
        <v>20.618556701030926</v>
      </c>
      <c r="H120" s="8">
        <f t="shared" si="210"/>
        <v>0.24796000000000001</v>
      </c>
      <c r="I120" s="8">
        <v>175500</v>
      </c>
      <c r="J120" s="8">
        <f t="shared" si="210"/>
        <v>0.28906275205678333</v>
      </c>
      <c r="K120" s="8">
        <f t="shared" si="210"/>
        <v>0</v>
      </c>
      <c r="L120" s="8">
        <f t="shared" si="210"/>
        <v>-5.6179775280898875E-3</v>
      </c>
      <c r="M120" s="8">
        <f t="shared" si="210"/>
        <v>20.618556701030926</v>
      </c>
      <c r="N120" s="8">
        <f t="shared" si="210"/>
        <v>0.17124309392265194</v>
      </c>
      <c r="O120" s="8">
        <v>124500.00000000001</v>
      </c>
      <c r="P120" s="8">
        <f t="shared" si="210"/>
        <v>1</v>
      </c>
      <c r="Q120" s="8">
        <f t="shared" si="210"/>
        <v>2.9999999999999998E-14</v>
      </c>
      <c r="R120" s="8">
        <f t="shared" ref="R120:Y120" si="231">+R119</f>
        <v>0</v>
      </c>
      <c r="S120" s="8">
        <f t="shared" si="231"/>
        <v>10</v>
      </c>
      <c r="T120" s="8">
        <f t="shared" si="231"/>
        <v>2.67</v>
      </c>
      <c r="U120" s="8">
        <f t="shared" si="231"/>
        <v>20</v>
      </c>
      <c r="V120" s="8">
        <f t="shared" si="231"/>
        <v>25</v>
      </c>
      <c r="W120" s="8">
        <f t="shared" si="231"/>
        <v>40</v>
      </c>
      <c r="X120" s="8" t="str">
        <f t="shared" si="231"/>
        <v>N</v>
      </c>
      <c r="Y120" s="8" t="str">
        <f t="shared" si="231"/>
        <v>N</v>
      </c>
      <c r="Z120" s="11"/>
      <c r="AA120" s="11"/>
      <c r="AB120" s="11"/>
      <c r="AC120" s="11"/>
    </row>
    <row r="121" spans="1:29" x14ac:dyDescent="0.25">
      <c r="A121" s="7" t="str">
        <f t="shared" ref="A121" si="232">+A120</f>
        <v>1D, square, phase</v>
      </c>
      <c r="B121" s="8">
        <f t="shared" si="210"/>
        <v>0.2</v>
      </c>
      <c r="C121" s="8">
        <f t="shared" si="210"/>
        <v>0.5</v>
      </c>
      <c r="D121" s="8">
        <f t="shared" si="210"/>
        <v>0.5000806581706726</v>
      </c>
      <c r="E121" s="8">
        <f t="shared" si="210"/>
        <v>0</v>
      </c>
      <c r="F121" s="8">
        <f t="shared" si="210"/>
        <v>-5.9523809523809521E-3</v>
      </c>
      <c r="G121" s="8">
        <f t="shared" si="210"/>
        <v>20.618556701030926</v>
      </c>
      <c r="H121" s="8">
        <f t="shared" si="210"/>
        <v>0.24796000000000001</v>
      </c>
      <c r="I121" s="8">
        <v>177000</v>
      </c>
      <c r="J121" s="8">
        <f t="shared" si="210"/>
        <v>0.28906275205678333</v>
      </c>
      <c r="K121" s="8">
        <f t="shared" si="210"/>
        <v>0</v>
      </c>
      <c r="L121" s="8">
        <f t="shared" si="210"/>
        <v>-5.6179775280898875E-3</v>
      </c>
      <c r="M121" s="8">
        <f t="shared" si="210"/>
        <v>20.618556701030926</v>
      </c>
      <c r="N121" s="8">
        <f t="shared" si="210"/>
        <v>0.17124309392265194</v>
      </c>
      <c r="O121" s="8">
        <v>123000.00000000001</v>
      </c>
      <c r="P121" s="8">
        <f t="shared" si="210"/>
        <v>1</v>
      </c>
      <c r="Q121" s="8">
        <f t="shared" si="210"/>
        <v>2.9999999999999998E-14</v>
      </c>
      <c r="R121" s="8">
        <f t="shared" ref="R121:Y121" si="233">+R120</f>
        <v>0</v>
      </c>
      <c r="S121" s="8">
        <f t="shared" si="233"/>
        <v>10</v>
      </c>
      <c r="T121" s="8">
        <f t="shared" si="233"/>
        <v>2.67</v>
      </c>
      <c r="U121" s="8">
        <f t="shared" si="233"/>
        <v>20</v>
      </c>
      <c r="V121" s="8">
        <f t="shared" si="233"/>
        <v>25</v>
      </c>
      <c r="W121" s="8">
        <f t="shared" si="233"/>
        <v>40</v>
      </c>
      <c r="X121" s="8" t="str">
        <f t="shared" si="233"/>
        <v>N</v>
      </c>
      <c r="Y121" s="8" t="str">
        <f t="shared" si="233"/>
        <v>N</v>
      </c>
      <c r="Z121" s="11"/>
      <c r="AA121" s="11"/>
      <c r="AB121" s="11"/>
      <c r="AC121" s="11"/>
    </row>
    <row r="122" spans="1:29" x14ac:dyDescent="0.25">
      <c r="A122" s="7" t="str">
        <f t="shared" ref="A122" si="234">+A121</f>
        <v>1D, square, phase</v>
      </c>
      <c r="B122" s="8">
        <f t="shared" si="210"/>
        <v>0.2</v>
      </c>
      <c r="C122" s="8">
        <f t="shared" si="210"/>
        <v>0.5</v>
      </c>
      <c r="D122" s="8">
        <f t="shared" si="210"/>
        <v>0.5000806581706726</v>
      </c>
      <c r="E122" s="8">
        <f t="shared" si="210"/>
        <v>0</v>
      </c>
      <c r="F122" s="8">
        <f t="shared" si="210"/>
        <v>-5.9523809523809521E-3</v>
      </c>
      <c r="G122" s="8">
        <f t="shared" si="210"/>
        <v>20.618556701030926</v>
      </c>
      <c r="H122" s="8">
        <f t="shared" si="210"/>
        <v>0.24796000000000001</v>
      </c>
      <c r="I122" s="8">
        <v>178500</v>
      </c>
      <c r="J122" s="8">
        <f t="shared" si="210"/>
        <v>0.28906275205678333</v>
      </c>
      <c r="K122" s="8">
        <f t="shared" si="210"/>
        <v>0</v>
      </c>
      <c r="L122" s="8">
        <f t="shared" si="210"/>
        <v>-5.6179775280898875E-3</v>
      </c>
      <c r="M122" s="8">
        <f t="shared" si="210"/>
        <v>20.618556701030926</v>
      </c>
      <c r="N122" s="8">
        <f t="shared" si="210"/>
        <v>0.17124309392265194</v>
      </c>
      <c r="O122" s="8">
        <v>121500.00000000001</v>
      </c>
      <c r="P122" s="8">
        <f t="shared" si="210"/>
        <v>1</v>
      </c>
      <c r="Q122" s="8">
        <f t="shared" si="210"/>
        <v>2.9999999999999998E-14</v>
      </c>
      <c r="R122" s="8">
        <f t="shared" ref="R122:Y122" si="235">+R121</f>
        <v>0</v>
      </c>
      <c r="S122" s="8">
        <f t="shared" si="235"/>
        <v>10</v>
      </c>
      <c r="T122" s="8">
        <f t="shared" si="235"/>
        <v>2.67</v>
      </c>
      <c r="U122" s="8">
        <f t="shared" si="235"/>
        <v>20</v>
      </c>
      <c r="V122" s="8">
        <f t="shared" si="235"/>
        <v>25</v>
      </c>
      <c r="W122" s="8">
        <f t="shared" si="235"/>
        <v>40</v>
      </c>
      <c r="X122" s="8" t="str">
        <f t="shared" si="235"/>
        <v>N</v>
      </c>
      <c r="Y122" s="8" t="str">
        <f t="shared" si="235"/>
        <v>N</v>
      </c>
      <c r="Z122" s="11"/>
      <c r="AA122" s="11"/>
      <c r="AB122" s="11"/>
      <c r="AC122" s="11"/>
    </row>
    <row r="123" spans="1:29" x14ac:dyDescent="0.25">
      <c r="A123" s="7" t="str">
        <f t="shared" ref="A123" si="236">+A122</f>
        <v>1D, square, phase</v>
      </c>
      <c r="B123" s="8">
        <f t="shared" si="210"/>
        <v>0.2</v>
      </c>
      <c r="C123" s="8">
        <f t="shared" si="210"/>
        <v>0.5</v>
      </c>
      <c r="D123" s="8">
        <f t="shared" si="210"/>
        <v>0.5000806581706726</v>
      </c>
      <c r="E123" s="8">
        <f t="shared" si="210"/>
        <v>0</v>
      </c>
      <c r="F123" s="8">
        <f t="shared" si="210"/>
        <v>-5.9523809523809521E-3</v>
      </c>
      <c r="G123" s="8">
        <f t="shared" si="210"/>
        <v>20.618556701030926</v>
      </c>
      <c r="H123" s="8">
        <f t="shared" si="210"/>
        <v>0.24796000000000001</v>
      </c>
      <c r="I123" s="8">
        <v>180000</v>
      </c>
      <c r="J123" s="8">
        <f t="shared" si="210"/>
        <v>0.28906275205678333</v>
      </c>
      <c r="K123" s="8">
        <f t="shared" si="210"/>
        <v>0</v>
      </c>
      <c r="L123" s="8">
        <f t="shared" si="210"/>
        <v>-5.6179775280898875E-3</v>
      </c>
      <c r="M123" s="8">
        <f t="shared" si="210"/>
        <v>20.618556701030926</v>
      </c>
      <c r="N123" s="8">
        <f t="shared" si="210"/>
        <v>0.17124309392265194</v>
      </c>
      <c r="O123" s="8">
        <v>120000</v>
      </c>
      <c r="P123" s="8">
        <f t="shared" si="210"/>
        <v>1</v>
      </c>
      <c r="Q123" s="8">
        <f t="shared" si="210"/>
        <v>2.9999999999999998E-14</v>
      </c>
      <c r="R123" s="8">
        <f t="shared" ref="R123:Y123" si="237">+R122</f>
        <v>0</v>
      </c>
      <c r="S123" s="8">
        <f t="shared" si="237"/>
        <v>10</v>
      </c>
      <c r="T123" s="8">
        <f t="shared" si="237"/>
        <v>2.67</v>
      </c>
      <c r="U123" s="8">
        <f t="shared" si="237"/>
        <v>20</v>
      </c>
      <c r="V123" s="8">
        <f t="shared" si="237"/>
        <v>25</v>
      </c>
      <c r="W123" s="8">
        <f t="shared" si="237"/>
        <v>40</v>
      </c>
      <c r="X123" s="8" t="str">
        <f t="shared" si="237"/>
        <v>N</v>
      </c>
      <c r="Y123" s="8" t="str">
        <f t="shared" si="237"/>
        <v>N</v>
      </c>
      <c r="Z123" s="11"/>
      <c r="AA123" s="11"/>
      <c r="AB123" s="11"/>
      <c r="AC123" s="11"/>
    </row>
    <row r="124" spans="1:29" x14ac:dyDescent="0.25">
      <c r="A124" s="7" t="str">
        <f t="shared" ref="A124" si="238">+A123</f>
        <v>1D, square, phase</v>
      </c>
      <c r="B124" s="8">
        <f t="shared" si="210"/>
        <v>0.2</v>
      </c>
      <c r="C124" s="8">
        <f t="shared" si="210"/>
        <v>0.5</v>
      </c>
      <c r="D124" s="8">
        <f t="shared" si="210"/>
        <v>0.5000806581706726</v>
      </c>
      <c r="E124" s="8">
        <f t="shared" si="210"/>
        <v>0</v>
      </c>
      <c r="F124" s="8">
        <f t="shared" si="210"/>
        <v>-5.9523809523809521E-3</v>
      </c>
      <c r="G124" s="8">
        <f t="shared" si="210"/>
        <v>20.618556701030926</v>
      </c>
      <c r="H124" s="8">
        <f t="shared" si="210"/>
        <v>0.24796000000000001</v>
      </c>
      <c r="I124" s="8">
        <v>181500</v>
      </c>
      <c r="J124" s="8">
        <f t="shared" si="210"/>
        <v>0.28906275205678333</v>
      </c>
      <c r="K124" s="8">
        <f t="shared" si="210"/>
        <v>0</v>
      </c>
      <c r="L124" s="8">
        <f t="shared" si="210"/>
        <v>-5.6179775280898875E-3</v>
      </c>
      <c r="M124" s="8">
        <f t="shared" si="210"/>
        <v>20.618556701030926</v>
      </c>
      <c r="N124" s="8">
        <f t="shared" si="210"/>
        <v>0.17124309392265194</v>
      </c>
      <c r="O124" s="8">
        <v>118500</v>
      </c>
      <c r="P124" s="8">
        <f t="shared" si="210"/>
        <v>1</v>
      </c>
      <c r="Q124" s="8">
        <f t="shared" si="210"/>
        <v>2.9999999999999998E-14</v>
      </c>
      <c r="R124" s="8">
        <f t="shared" ref="R124:Y124" si="239">+R123</f>
        <v>0</v>
      </c>
      <c r="S124" s="8">
        <f t="shared" si="239"/>
        <v>10</v>
      </c>
      <c r="T124" s="8">
        <f t="shared" si="239"/>
        <v>2.67</v>
      </c>
      <c r="U124" s="8">
        <f t="shared" si="239"/>
        <v>20</v>
      </c>
      <c r="V124" s="8">
        <f t="shared" si="239"/>
        <v>25</v>
      </c>
      <c r="W124" s="8">
        <f t="shared" si="239"/>
        <v>40</v>
      </c>
      <c r="X124" s="8" t="str">
        <f t="shared" si="239"/>
        <v>N</v>
      </c>
      <c r="Y124" s="8" t="str">
        <f t="shared" si="239"/>
        <v>N</v>
      </c>
      <c r="Z124" s="11"/>
      <c r="AA124" s="11"/>
      <c r="AB124" s="11"/>
      <c r="AC124" s="11"/>
    </row>
    <row r="125" spans="1:29" x14ac:dyDescent="0.25">
      <c r="A125" s="7" t="str">
        <f t="shared" ref="A125" si="240">+A124</f>
        <v>1D, square, phase</v>
      </c>
      <c r="B125" s="8">
        <f t="shared" si="210"/>
        <v>0.2</v>
      </c>
      <c r="C125" s="8">
        <f t="shared" si="210"/>
        <v>0.5</v>
      </c>
      <c r="D125" s="8">
        <f t="shared" si="210"/>
        <v>0.5000806581706726</v>
      </c>
      <c r="E125" s="8">
        <f t="shared" si="210"/>
        <v>0</v>
      </c>
      <c r="F125" s="8">
        <f t="shared" si="210"/>
        <v>-5.9523809523809521E-3</v>
      </c>
      <c r="G125" s="8">
        <f t="shared" si="210"/>
        <v>20.618556701030926</v>
      </c>
      <c r="H125" s="8">
        <f t="shared" si="210"/>
        <v>0.24796000000000001</v>
      </c>
      <c r="I125" s="8">
        <v>183000</v>
      </c>
      <c r="J125" s="8">
        <f t="shared" si="210"/>
        <v>0.28906275205678333</v>
      </c>
      <c r="K125" s="8">
        <f t="shared" si="210"/>
        <v>0</v>
      </c>
      <c r="L125" s="8">
        <f t="shared" si="210"/>
        <v>-5.6179775280898875E-3</v>
      </c>
      <c r="M125" s="8">
        <f t="shared" si="210"/>
        <v>20.618556701030926</v>
      </c>
      <c r="N125" s="8">
        <f t="shared" si="210"/>
        <v>0.17124309392265194</v>
      </c>
      <c r="O125" s="8">
        <v>117000</v>
      </c>
      <c r="P125" s="8">
        <f t="shared" si="210"/>
        <v>1</v>
      </c>
      <c r="Q125" s="8">
        <f t="shared" ref="Q125:Y125" si="241">+Q124</f>
        <v>2.9999999999999998E-14</v>
      </c>
      <c r="R125" s="8">
        <f t="shared" si="241"/>
        <v>0</v>
      </c>
      <c r="S125" s="8">
        <f t="shared" si="241"/>
        <v>10</v>
      </c>
      <c r="T125" s="8">
        <f t="shared" si="241"/>
        <v>2.67</v>
      </c>
      <c r="U125" s="8">
        <f t="shared" si="241"/>
        <v>20</v>
      </c>
      <c r="V125" s="8">
        <f t="shared" si="241"/>
        <v>25</v>
      </c>
      <c r="W125" s="8">
        <f t="shared" si="241"/>
        <v>40</v>
      </c>
      <c r="X125" s="8" t="str">
        <f t="shared" si="241"/>
        <v>N</v>
      </c>
      <c r="Y125" s="8" t="str">
        <f t="shared" si="241"/>
        <v>N</v>
      </c>
      <c r="Z125" s="11"/>
      <c r="AA125" s="11"/>
      <c r="AB125" s="11"/>
      <c r="AC125" s="11"/>
    </row>
    <row r="126" spans="1:29" x14ac:dyDescent="0.25">
      <c r="A126" s="7" t="str">
        <f t="shared" ref="A126" si="242">+A125</f>
        <v>1D, square, phase</v>
      </c>
      <c r="B126" s="8">
        <f t="shared" ref="B126:Q141" si="243">+B125</f>
        <v>0.2</v>
      </c>
      <c r="C126" s="8">
        <f t="shared" si="243"/>
        <v>0.5</v>
      </c>
      <c r="D126" s="8">
        <f t="shared" si="243"/>
        <v>0.5000806581706726</v>
      </c>
      <c r="E126" s="8">
        <f t="shared" si="243"/>
        <v>0</v>
      </c>
      <c r="F126" s="8">
        <f t="shared" si="243"/>
        <v>-5.9523809523809521E-3</v>
      </c>
      <c r="G126" s="8">
        <f t="shared" si="243"/>
        <v>20.618556701030926</v>
      </c>
      <c r="H126" s="8">
        <f t="shared" si="243"/>
        <v>0.24796000000000001</v>
      </c>
      <c r="I126" s="8">
        <v>184500</v>
      </c>
      <c r="J126" s="8">
        <f t="shared" si="243"/>
        <v>0.28906275205678333</v>
      </c>
      <c r="K126" s="8">
        <f t="shared" si="243"/>
        <v>0</v>
      </c>
      <c r="L126" s="8">
        <f t="shared" si="243"/>
        <v>-5.6179775280898875E-3</v>
      </c>
      <c r="M126" s="8">
        <f t="shared" si="243"/>
        <v>20.618556701030926</v>
      </c>
      <c r="N126" s="8">
        <f t="shared" si="243"/>
        <v>0.17124309392265194</v>
      </c>
      <c r="O126" s="8">
        <v>115500</v>
      </c>
      <c r="P126" s="8">
        <f t="shared" si="243"/>
        <v>1</v>
      </c>
      <c r="Q126" s="8">
        <f t="shared" si="243"/>
        <v>2.9999999999999998E-14</v>
      </c>
      <c r="R126" s="8">
        <f t="shared" ref="R126:Y126" si="244">+R125</f>
        <v>0</v>
      </c>
      <c r="S126" s="8">
        <f t="shared" si="244"/>
        <v>10</v>
      </c>
      <c r="T126" s="8">
        <f t="shared" si="244"/>
        <v>2.67</v>
      </c>
      <c r="U126" s="8">
        <f t="shared" si="244"/>
        <v>20</v>
      </c>
      <c r="V126" s="8">
        <f t="shared" si="244"/>
        <v>25</v>
      </c>
      <c r="W126" s="8">
        <f t="shared" si="244"/>
        <v>40</v>
      </c>
      <c r="X126" s="8" t="str">
        <f t="shared" si="244"/>
        <v>N</v>
      </c>
      <c r="Y126" s="8" t="str">
        <f t="shared" si="244"/>
        <v>N</v>
      </c>
      <c r="Z126" s="11"/>
      <c r="AA126" s="11"/>
      <c r="AB126" s="11"/>
      <c r="AC126" s="11"/>
    </row>
    <row r="127" spans="1:29" x14ac:dyDescent="0.25">
      <c r="A127" s="7" t="str">
        <f t="shared" ref="A127" si="245">+A126</f>
        <v>1D, square, phase</v>
      </c>
      <c r="B127" s="8">
        <f t="shared" si="243"/>
        <v>0.2</v>
      </c>
      <c r="C127" s="8">
        <f t="shared" si="243"/>
        <v>0.5</v>
      </c>
      <c r="D127" s="8">
        <f t="shared" si="243"/>
        <v>0.5000806581706726</v>
      </c>
      <c r="E127" s="8">
        <f t="shared" si="243"/>
        <v>0</v>
      </c>
      <c r="F127" s="8">
        <f t="shared" si="243"/>
        <v>-5.9523809523809521E-3</v>
      </c>
      <c r="G127" s="8">
        <f t="shared" si="243"/>
        <v>20.618556701030926</v>
      </c>
      <c r="H127" s="8">
        <f t="shared" si="243"/>
        <v>0.24796000000000001</v>
      </c>
      <c r="I127" s="8">
        <v>186000</v>
      </c>
      <c r="J127" s="8">
        <f t="shared" si="243"/>
        <v>0.28906275205678333</v>
      </c>
      <c r="K127" s="8">
        <f t="shared" si="243"/>
        <v>0</v>
      </c>
      <c r="L127" s="8">
        <f t="shared" si="243"/>
        <v>-5.6179775280898875E-3</v>
      </c>
      <c r="M127" s="8">
        <f t="shared" si="243"/>
        <v>20.618556701030926</v>
      </c>
      <c r="N127" s="8">
        <f t="shared" si="243"/>
        <v>0.17124309392265194</v>
      </c>
      <c r="O127" s="8">
        <v>114000</v>
      </c>
      <c r="P127" s="8">
        <f t="shared" si="243"/>
        <v>1</v>
      </c>
      <c r="Q127" s="8">
        <f t="shared" si="243"/>
        <v>2.9999999999999998E-14</v>
      </c>
      <c r="R127" s="8">
        <f t="shared" ref="R127:Y127" si="246">+R126</f>
        <v>0</v>
      </c>
      <c r="S127" s="8">
        <f t="shared" si="246"/>
        <v>10</v>
      </c>
      <c r="T127" s="8">
        <f t="shared" si="246"/>
        <v>2.67</v>
      </c>
      <c r="U127" s="8">
        <f t="shared" si="246"/>
        <v>20</v>
      </c>
      <c r="V127" s="8">
        <f t="shared" si="246"/>
        <v>25</v>
      </c>
      <c r="W127" s="8">
        <f t="shared" si="246"/>
        <v>40</v>
      </c>
      <c r="X127" s="8" t="str">
        <f t="shared" si="246"/>
        <v>N</v>
      </c>
      <c r="Y127" s="8" t="str">
        <f t="shared" si="246"/>
        <v>N</v>
      </c>
      <c r="Z127" s="11"/>
      <c r="AA127" s="11"/>
      <c r="AB127" s="11"/>
      <c r="AC127" s="11"/>
    </row>
    <row r="128" spans="1:29" x14ac:dyDescent="0.25">
      <c r="A128" s="7" t="str">
        <f t="shared" ref="A128" si="247">+A127</f>
        <v>1D, square, phase</v>
      </c>
      <c r="B128" s="8">
        <f t="shared" si="243"/>
        <v>0.2</v>
      </c>
      <c r="C128" s="8">
        <f t="shared" si="243"/>
        <v>0.5</v>
      </c>
      <c r="D128" s="8">
        <f t="shared" si="243"/>
        <v>0.5000806581706726</v>
      </c>
      <c r="E128" s="8">
        <f t="shared" si="243"/>
        <v>0</v>
      </c>
      <c r="F128" s="8">
        <f t="shared" si="243"/>
        <v>-5.9523809523809521E-3</v>
      </c>
      <c r="G128" s="8">
        <f t="shared" si="243"/>
        <v>20.618556701030926</v>
      </c>
      <c r="H128" s="8">
        <f t="shared" si="243"/>
        <v>0.24796000000000001</v>
      </c>
      <c r="I128" s="8">
        <v>187500</v>
      </c>
      <c r="J128" s="8">
        <f t="shared" si="243"/>
        <v>0.28906275205678333</v>
      </c>
      <c r="K128" s="8">
        <f t="shared" si="243"/>
        <v>0</v>
      </c>
      <c r="L128" s="8">
        <f t="shared" si="243"/>
        <v>-5.6179775280898875E-3</v>
      </c>
      <c r="M128" s="8">
        <f t="shared" si="243"/>
        <v>20.618556701030926</v>
      </c>
      <c r="N128" s="8">
        <f t="shared" si="243"/>
        <v>0.17124309392265194</v>
      </c>
      <c r="O128" s="8">
        <v>112500</v>
      </c>
      <c r="P128" s="8">
        <f t="shared" si="243"/>
        <v>1</v>
      </c>
      <c r="Q128" s="8">
        <f t="shared" si="243"/>
        <v>2.9999999999999998E-14</v>
      </c>
      <c r="R128" s="8">
        <f t="shared" ref="R128:Y128" si="248">+R127</f>
        <v>0</v>
      </c>
      <c r="S128" s="8">
        <f t="shared" si="248"/>
        <v>10</v>
      </c>
      <c r="T128" s="8">
        <f t="shared" si="248"/>
        <v>2.67</v>
      </c>
      <c r="U128" s="8">
        <f t="shared" si="248"/>
        <v>20</v>
      </c>
      <c r="V128" s="8">
        <f t="shared" si="248"/>
        <v>25</v>
      </c>
      <c r="W128" s="8">
        <f t="shared" si="248"/>
        <v>40</v>
      </c>
      <c r="X128" s="8" t="str">
        <f t="shared" si="248"/>
        <v>N</v>
      </c>
      <c r="Y128" s="8" t="str">
        <f t="shared" si="248"/>
        <v>N</v>
      </c>
      <c r="Z128" s="11"/>
      <c r="AA128" s="11"/>
      <c r="AB128" s="11"/>
      <c r="AC128" s="11"/>
    </row>
    <row r="129" spans="1:29" x14ac:dyDescent="0.25">
      <c r="A129" s="7" t="str">
        <f t="shared" ref="A129" si="249">+A128</f>
        <v>1D, square, phase</v>
      </c>
      <c r="B129" s="8">
        <f t="shared" si="243"/>
        <v>0.2</v>
      </c>
      <c r="C129" s="8">
        <f t="shared" si="243"/>
        <v>0.5</v>
      </c>
      <c r="D129" s="8">
        <f t="shared" si="243"/>
        <v>0.5000806581706726</v>
      </c>
      <c r="E129" s="8">
        <f t="shared" si="243"/>
        <v>0</v>
      </c>
      <c r="F129" s="8">
        <f t="shared" si="243"/>
        <v>-5.9523809523809521E-3</v>
      </c>
      <c r="G129" s="8">
        <f t="shared" si="243"/>
        <v>20.618556701030926</v>
      </c>
      <c r="H129" s="8">
        <f t="shared" si="243"/>
        <v>0.24796000000000001</v>
      </c>
      <c r="I129" s="8">
        <v>189000</v>
      </c>
      <c r="J129" s="8">
        <f t="shared" si="243"/>
        <v>0.28906275205678333</v>
      </c>
      <c r="K129" s="8">
        <f t="shared" si="243"/>
        <v>0</v>
      </c>
      <c r="L129" s="8">
        <f t="shared" si="243"/>
        <v>-5.6179775280898875E-3</v>
      </c>
      <c r="M129" s="8">
        <f t="shared" si="243"/>
        <v>20.618556701030926</v>
      </c>
      <c r="N129" s="8">
        <f t="shared" si="243"/>
        <v>0.17124309392265194</v>
      </c>
      <c r="O129" s="8">
        <v>111000</v>
      </c>
      <c r="P129" s="8">
        <f t="shared" si="243"/>
        <v>1</v>
      </c>
      <c r="Q129" s="8">
        <f t="shared" si="243"/>
        <v>2.9999999999999998E-14</v>
      </c>
      <c r="R129" s="8">
        <f t="shared" ref="R129:Y129" si="250">+R128</f>
        <v>0</v>
      </c>
      <c r="S129" s="8">
        <f t="shared" si="250"/>
        <v>10</v>
      </c>
      <c r="T129" s="8">
        <f t="shared" si="250"/>
        <v>2.67</v>
      </c>
      <c r="U129" s="8">
        <f t="shared" si="250"/>
        <v>20</v>
      </c>
      <c r="V129" s="8">
        <f t="shared" si="250"/>
        <v>25</v>
      </c>
      <c r="W129" s="8">
        <f t="shared" si="250"/>
        <v>40</v>
      </c>
      <c r="X129" s="8" t="str">
        <f t="shared" si="250"/>
        <v>N</v>
      </c>
      <c r="Y129" s="8" t="str">
        <f t="shared" si="250"/>
        <v>N</v>
      </c>
      <c r="Z129" s="11"/>
      <c r="AA129" s="11"/>
      <c r="AB129" s="11"/>
      <c r="AC129" s="11"/>
    </row>
    <row r="130" spans="1:29" x14ac:dyDescent="0.25">
      <c r="A130" s="7" t="str">
        <f t="shared" ref="A130" si="251">+A129</f>
        <v>1D, square, phase</v>
      </c>
      <c r="B130" s="8">
        <f t="shared" si="243"/>
        <v>0.2</v>
      </c>
      <c r="C130" s="8">
        <f t="shared" si="243"/>
        <v>0.5</v>
      </c>
      <c r="D130" s="8">
        <f t="shared" si="243"/>
        <v>0.5000806581706726</v>
      </c>
      <c r="E130" s="8">
        <f t="shared" si="243"/>
        <v>0</v>
      </c>
      <c r="F130" s="8">
        <f t="shared" si="243"/>
        <v>-5.9523809523809521E-3</v>
      </c>
      <c r="G130" s="8">
        <f t="shared" si="243"/>
        <v>20.618556701030926</v>
      </c>
      <c r="H130" s="8">
        <f t="shared" si="243"/>
        <v>0.24796000000000001</v>
      </c>
      <c r="I130" s="8">
        <v>190500</v>
      </c>
      <c r="J130" s="8">
        <f t="shared" si="243"/>
        <v>0.28906275205678333</v>
      </c>
      <c r="K130" s="8">
        <f t="shared" si="243"/>
        <v>0</v>
      </c>
      <c r="L130" s="8">
        <f t="shared" si="243"/>
        <v>-5.6179775280898875E-3</v>
      </c>
      <c r="M130" s="8">
        <f t="shared" si="243"/>
        <v>20.618556701030926</v>
      </c>
      <c r="N130" s="8">
        <f t="shared" si="243"/>
        <v>0.17124309392265194</v>
      </c>
      <c r="O130" s="8">
        <v>109500</v>
      </c>
      <c r="P130" s="8">
        <f t="shared" si="243"/>
        <v>1</v>
      </c>
      <c r="Q130" s="8">
        <f t="shared" si="243"/>
        <v>2.9999999999999998E-14</v>
      </c>
      <c r="R130" s="8">
        <f t="shared" ref="R130:Y130" si="252">+R129</f>
        <v>0</v>
      </c>
      <c r="S130" s="8">
        <f t="shared" si="252"/>
        <v>10</v>
      </c>
      <c r="T130" s="8">
        <f t="shared" si="252"/>
        <v>2.67</v>
      </c>
      <c r="U130" s="8">
        <f t="shared" si="252"/>
        <v>20</v>
      </c>
      <c r="V130" s="8">
        <f t="shared" si="252"/>
        <v>25</v>
      </c>
      <c r="W130" s="8">
        <f t="shared" si="252"/>
        <v>40</v>
      </c>
      <c r="X130" s="8" t="str">
        <f t="shared" si="252"/>
        <v>N</v>
      </c>
      <c r="Y130" s="8" t="str">
        <f t="shared" si="252"/>
        <v>N</v>
      </c>
      <c r="Z130" s="11"/>
      <c r="AA130" s="11"/>
      <c r="AB130" s="11"/>
      <c r="AC130" s="11"/>
    </row>
    <row r="131" spans="1:29" x14ac:dyDescent="0.25">
      <c r="A131" s="7" t="str">
        <f t="shared" ref="A131" si="253">+A130</f>
        <v>1D, square, phase</v>
      </c>
      <c r="B131" s="8">
        <f t="shared" si="243"/>
        <v>0.2</v>
      </c>
      <c r="C131" s="8">
        <f t="shared" si="243"/>
        <v>0.5</v>
      </c>
      <c r="D131" s="8">
        <f t="shared" si="243"/>
        <v>0.5000806581706726</v>
      </c>
      <c r="E131" s="8">
        <f t="shared" si="243"/>
        <v>0</v>
      </c>
      <c r="F131" s="8">
        <f t="shared" si="243"/>
        <v>-5.9523809523809521E-3</v>
      </c>
      <c r="G131" s="8">
        <f t="shared" si="243"/>
        <v>20.618556701030926</v>
      </c>
      <c r="H131" s="8">
        <f t="shared" si="243"/>
        <v>0.24796000000000001</v>
      </c>
      <c r="I131" s="8">
        <v>192000</v>
      </c>
      <c r="J131" s="8">
        <f t="shared" si="243"/>
        <v>0.28906275205678333</v>
      </c>
      <c r="K131" s="8">
        <f t="shared" si="243"/>
        <v>0</v>
      </c>
      <c r="L131" s="8">
        <f t="shared" si="243"/>
        <v>-5.6179775280898875E-3</v>
      </c>
      <c r="M131" s="8">
        <f t="shared" si="243"/>
        <v>20.618556701030926</v>
      </c>
      <c r="N131" s="8">
        <f t="shared" si="243"/>
        <v>0.17124309392265194</v>
      </c>
      <c r="O131" s="8">
        <v>108000</v>
      </c>
      <c r="P131" s="8">
        <f t="shared" si="243"/>
        <v>1</v>
      </c>
      <c r="Q131" s="8">
        <f t="shared" si="243"/>
        <v>2.9999999999999998E-14</v>
      </c>
      <c r="R131" s="8">
        <f t="shared" ref="R131:Y131" si="254">+R130</f>
        <v>0</v>
      </c>
      <c r="S131" s="8">
        <f t="shared" si="254"/>
        <v>10</v>
      </c>
      <c r="T131" s="8">
        <f t="shared" si="254"/>
        <v>2.67</v>
      </c>
      <c r="U131" s="8">
        <f t="shared" si="254"/>
        <v>20</v>
      </c>
      <c r="V131" s="8">
        <f t="shared" si="254"/>
        <v>25</v>
      </c>
      <c r="W131" s="8">
        <f t="shared" si="254"/>
        <v>40</v>
      </c>
      <c r="X131" s="8" t="str">
        <f t="shared" si="254"/>
        <v>N</v>
      </c>
      <c r="Y131" s="8" t="str">
        <f t="shared" si="254"/>
        <v>N</v>
      </c>
      <c r="Z131" s="11"/>
      <c r="AA131" s="11"/>
      <c r="AB131" s="11"/>
      <c r="AC131" s="11"/>
    </row>
    <row r="132" spans="1:29" x14ac:dyDescent="0.25">
      <c r="A132" s="7" t="str">
        <f t="shared" ref="A132" si="255">+A131</f>
        <v>1D, square, phase</v>
      </c>
      <c r="B132" s="8">
        <f t="shared" si="243"/>
        <v>0.2</v>
      </c>
      <c r="C132" s="8">
        <f t="shared" si="243"/>
        <v>0.5</v>
      </c>
      <c r="D132" s="8">
        <f t="shared" si="243"/>
        <v>0.5000806581706726</v>
      </c>
      <c r="E132" s="8">
        <f t="shared" si="243"/>
        <v>0</v>
      </c>
      <c r="F132" s="8">
        <f t="shared" si="243"/>
        <v>-5.9523809523809521E-3</v>
      </c>
      <c r="G132" s="8">
        <f t="shared" si="243"/>
        <v>20.618556701030926</v>
      </c>
      <c r="H132" s="8">
        <f t="shared" si="243"/>
        <v>0.24796000000000001</v>
      </c>
      <c r="I132" s="8">
        <v>193500</v>
      </c>
      <c r="J132" s="8">
        <f t="shared" si="243"/>
        <v>0.28906275205678333</v>
      </c>
      <c r="K132" s="8">
        <f t="shared" si="243"/>
        <v>0</v>
      </c>
      <c r="L132" s="8">
        <f t="shared" si="243"/>
        <v>-5.6179775280898875E-3</v>
      </c>
      <c r="M132" s="8">
        <f t="shared" si="243"/>
        <v>20.618556701030926</v>
      </c>
      <c r="N132" s="8">
        <f t="shared" si="243"/>
        <v>0.17124309392265194</v>
      </c>
      <c r="O132" s="8">
        <v>106500</v>
      </c>
      <c r="P132" s="8">
        <f t="shared" si="243"/>
        <v>1</v>
      </c>
      <c r="Q132" s="8">
        <f t="shared" si="243"/>
        <v>2.9999999999999998E-14</v>
      </c>
      <c r="R132" s="8">
        <f t="shared" ref="R132:Y132" si="256">+R131</f>
        <v>0</v>
      </c>
      <c r="S132" s="8">
        <f t="shared" si="256"/>
        <v>10</v>
      </c>
      <c r="T132" s="8">
        <f t="shared" si="256"/>
        <v>2.67</v>
      </c>
      <c r="U132" s="8">
        <f t="shared" si="256"/>
        <v>20</v>
      </c>
      <c r="V132" s="8">
        <f t="shared" si="256"/>
        <v>25</v>
      </c>
      <c r="W132" s="8">
        <f t="shared" si="256"/>
        <v>40</v>
      </c>
      <c r="X132" s="8" t="str">
        <f t="shared" si="256"/>
        <v>N</v>
      </c>
      <c r="Y132" s="8" t="str">
        <f t="shared" si="256"/>
        <v>N</v>
      </c>
      <c r="Z132" s="11"/>
      <c r="AA132" s="11"/>
      <c r="AB132" s="11"/>
      <c r="AC132" s="11"/>
    </row>
    <row r="133" spans="1:29" x14ac:dyDescent="0.25">
      <c r="A133" s="7" t="str">
        <f t="shared" ref="A133" si="257">+A132</f>
        <v>1D, square, phase</v>
      </c>
      <c r="B133" s="8">
        <f t="shared" si="243"/>
        <v>0.2</v>
      </c>
      <c r="C133" s="8">
        <f t="shared" si="243"/>
        <v>0.5</v>
      </c>
      <c r="D133" s="8">
        <f t="shared" si="243"/>
        <v>0.5000806581706726</v>
      </c>
      <c r="E133" s="8">
        <f t="shared" si="243"/>
        <v>0</v>
      </c>
      <c r="F133" s="8">
        <f t="shared" si="243"/>
        <v>-5.9523809523809521E-3</v>
      </c>
      <c r="G133" s="8">
        <f t="shared" si="243"/>
        <v>20.618556701030926</v>
      </c>
      <c r="H133" s="8">
        <f t="shared" si="243"/>
        <v>0.24796000000000001</v>
      </c>
      <c r="I133" s="8">
        <v>195000</v>
      </c>
      <c r="J133" s="8">
        <f t="shared" si="243"/>
        <v>0.28906275205678333</v>
      </c>
      <c r="K133" s="8">
        <f t="shared" si="243"/>
        <v>0</v>
      </c>
      <c r="L133" s="8">
        <f t="shared" si="243"/>
        <v>-5.6179775280898875E-3</v>
      </c>
      <c r="M133" s="8">
        <f t="shared" si="243"/>
        <v>20.618556701030926</v>
      </c>
      <c r="N133" s="8">
        <f t="shared" si="243"/>
        <v>0.17124309392265194</v>
      </c>
      <c r="O133" s="8">
        <v>105000</v>
      </c>
      <c r="P133" s="8">
        <f t="shared" si="243"/>
        <v>1</v>
      </c>
      <c r="Q133" s="8">
        <f t="shared" si="243"/>
        <v>2.9999999999999998E-14</v>
      </c>
      <c r="R133" s="8">
        <f t="shared" ref="R133:Y133" si="258">+R132</f>
        <v>0</v>
      </c>
      <c r="S133" s="8">
        <f t="shared" si="258"/>
        <v>10</v>
      </c>
      <c r="T133" s="8">
        <f t="shared" si="258"/>
        <v>2.67</v>
      </c>
      <c r="U133" s="8">
        <f t="shared" si="258"/>
        <v>20</v>
      </c>
      <c r="V133" s="8">
        <f t="shared" si="258"/>
        <v>25</v>
      </c>
      <c r="W133" s="8">
        <f t="shared" si="258"/>
        <v>40</v>
      </c>
      <c r="X133" s="8" t="str">
        <f t="shared" si="258"/>
        <v>N</v>
      </c>
      <c r="Y133" s="8" t="str">
        <f t="shared" si="258"/>
        <v>N</v>
      </c>
      <c r="Z133" s="11"/>
      <c r="AA133" s="11"/>
      <c r="AB133" s="11"/>
      <c r="AC133" s="11"/>
    </row>
    <row r="134" spans="1:29" x14ac:dyDescent="0.25">
      <c r="A134" s="7" t="str">
        <f t="shared" ref="A134" si="259">+A133</f>
        <v>1D, square, phase</v>
      </c>
      <c r="B134" s="8">
        <f t="shared" si="243"/>
        <v>0.2</v>
      </c>
      <c r="C134" s="8">
        <f t="shared" si="243"/>
        <v>0.5</v>
      </c>
      <c r="D134" s="8">
        <f t="shared" si="243"/>
        <v>0.5000806581706726</v>
      </c>
      <c r="E134" s="8">
        <f t="shared" si="243"/>
        <v>0</v>
      </c>
      <c r="F134" s="8">
        <f t="shared" si="243"/>
        <v>-5.9523809523809521E-3</v>
      </c>
      <c r="G134" s="8">
        <f t="shared" si="243"/>
        <v>20.618556701030926</v>
      </c>
      <c r="H134" s="8">
        <f t="shared" si="243"/>
        <v>0.24796000000000001</v>
      </c>
      <c r="I134" s="8">
        <v>196500</v>
      </c>
      <c r="J134" s="8">
        <f t="shared" si="243"/>
        <v>0.28906275205678333</v>
      </c>
      <c r="K134" s="8">
        <f t="shared" si="243"/>
        <v>0</v>
      </c>
      <c r="L134" s="8">
        <f t="shared" si="243"/>
        <v>-5.6179775280898875E-3</v>
      </c>
      <c r="M134" s="8">
        <f t="shared" si="243"/>
        <v>20.618556701030926</v>
      </c>
      <c r="N134" s="8">
        <f t="shared" si="243"/>
        <v>0.17124309392265194</v>
      </c>
      <c r="O134" s="8">
        <v>103499.99999999999</v>
      </c>
      <c r="P134" s="8">
        <f t="shared" si="243"/>
        <v>1</v>
      </c>
      <c r="Q134" s="8">
        <f t="shared" si="243"/>
        <v>2.9999999999999998E-14</v>
      </c>
      <c r="R134" s="8">
        <f t="shared" ref="R134:Y134" si="260">+R133</f>
        <v>0</v>
      </c>
      <c r="S134" s="8">
        <f t="shared" si="260"/>
        <v>10</v>
      </c>
      <c r="T134" s="8">
        <f t="shared" si="260"/>
        <v>2.67</v>
      </c>
      <c r="U134" s="8">
        <f t="shared" si="260"/>
        <v>20</v>
      </c>
      <c r="V134" s="8">
        <f t="shared" si="260"/>
        <v>25</v>
      </c>
      <c r="W134" s="8">
        <f t="shared" si="260"/>
        <v>40</v>
      </c>
      <c r="X134" s="8" t="str">
        <f t="shared" si="260"/>
        <v>N</v>
      </c>
      <c r="Y134" s="8" t="str">
        <f t="shared" si="260"/>
        <v>N</v>
      </c>
      <c r="Z134" s="11"/>
      <c r="AA134" s="11"/>
      <c r="AB134" s="11"/>
      <c r="AC134" s="11"/>
    </row>
    <row r="135" spans="1:29" x14ac:dyDescent="0.25">
      <c r="A135" s="7" t="str">
        <f t="shared" ref="A135" si="261">+A134</f>
        <v>1D, square, phase</v>
      </c>
      <c r="B135" s="8">
        <f t="shared" si="243"/>
        <v>0.2</v>
      </c>
      <c r="C135" s="8">
        <f t="shared" si="243"/>
        <v>0.5</v>
      </c>
      <c r="D135" s="8">
        <f t="shared" si="243"/>
        <v>0.5000806581706726</v>
      </c>
      <c r="E135" s="8">
        <f t="shared" si="243"/>
        <v>0</v>
      </c>
      <c r="F135" s="8">
        <f t="shared" si="243"/>
        <v>-5.9523809523809521E-3</v>
      </c>
      <c r="G135" s="8">
        <f t="shared" si="243"/>
        <v>20.618556701030926</v>
      </c>
      <c r="H135" s="8">
        <f t="shared" si="243"/>
        <v>0.24796000000000001</v>
      </c>
      <c r="I135" s="8">
        <v>198000</v>
      </c>
      <c r="J135" s="8">
        <f t="shared" si="243"/>
        <v>0.28906275205678333</v>
      </c>
      <c r="K135" s="8">
        <f t="shared" si="243"/>
        <v>0</v>
      </c>
      <c r="L135" s="8">
        <f t="shared" si="243"/>
        <v>-5.6179775280898875E-3</v>
      </c>
      <c r="M135" s="8">
        <f t="shared" si="243"/>
        <v>20.618556701030926</v>
      </c>
      <c r="N135" s="8">
        <f t="shared" si="243"/>
        <v>0.17124309392265194</v>
      </c>
      <c r="O135" s="8">
        <v>101999.99999999999</v>
      </c>
      <c r="P135" s="8">
        <f t="shared" si="243"/>
        <v>1</v>
      </c>
      <c r="Q135" s="8">
        <f t="shared" si="243"/>
        <v>2.9999999999999998E-14</v>
      </c>
      <c r="R135" s="8">
        <f t="shared" ref="R135:Y135" si="262">+R134</f>
        <v>0</v>
      </c>
      <c r="S135" s="8">
        <f t="shared" si="262"/>
        <v>10</v>
      </c>
      <c r="T135" s="8">
        <f t="shared" si="262"/>
        <v>2.67</v>
      </c>
      <c r="U135" s="8">
        <f t="shared" si="262"/>
        <v>20</v>
      </c>
      <c r="V135" s="8">
        <f t="shared" si="262"/>
        <v>25</v>
      </c>
      <c r="W135" s="8">
        <f t="shared" si="262"/>
        <v>40</v>
      </c>
      <c r="X135" s="8" t="str">
        <f t="shared" si="262"/>
        <v>N</v>
      </c>
      <c r="Y135" s="8" t="str">
        <f t="shared" si="262"/>
        <v>N</v>
      </c>
      <c r="Z135" s="11"/>
      <c r="AA135" s="11"/>
      <c r="AB135" s="11"/>
      <c r="AC135" s="11"/>
    </row>
    <row r="136" spans="1:29" x14ac:dyDescent="0.25">
      <c r="A136" s="7" t="str">
        <f t="shared" ref="A136" si="263">+A135</f>
        <v>1D, square, phase</v>
      </c>
      <c r="B136" s="8">
        <f t="shared" si="243"/>
        <v>0.2</v>
      </c>
      <c r="C136" s="8">
        <f t="shared" si="243"/>
        <v>0.5</v>
      </c>
      <c r="D136" s="8">
        <f t="shared" si="243"/>
        <v>0.5000806581706726</v>
      </c>
      <c r="E136" s="8">
        <f t="shared" si="243"/>
        <v>0</v>
      </c>
      <c r="F136" s="8">
        <f t="shared" si="243"/>
        <v>-5.9523809523809521E-3</v>
      </c>
      <c r="G136" s="8">
        <f t="shared" si="243"/>
        <v>20.618556701030926</v>
      </c>
      <c r="H136" s="8">
        <f t="shared" si="243"/>
        <v>0.24796000000000001</v>
      </c>
      <c r="I136" s="8">
        <v>199500</v>
      </c>
      <c r="J136" s="8">
        <f t="shared" si="243"/>
        <v>0.28906275205678333</v>
      </c>
      <c r="K136" s="8">
        <f t="shared" si="243"/>
        <v>0</v>
      </c>
      <c r="L136" s="8">
        <f t="shared" si="243"/>
        <v>-5.6179775280898875E-3</v>
      </c>
      <c r="M136" s="8">
        <f t="shared" si="243"/>
        <v>20.618556701030926</v>
      </c>
      <c r="N136" s="8">
        <f t="shared" si="243"/>
        <v>0.17124309392265194</v>
      </c>
      <c r="O136" s="8">
        <v>100499.99999999999</v>
      </c>
      <c r="P136" s="8">
        <f t="shared" si="243"/>
        <v>1</v>
      </c>
      <c r="Q136" s="8">
        <f t="shared" si="243"/>
        <v>2.9999999999999998E-14</v>
      </c>
      <c r="R136" s="8">
        <f t="shared" ref="R136:Y136" si="264">+R135</f>
        <v>0</v>
      </c>
      <c r="S136" s="8">
        <f t="shared" si="264"/>
        <v>10</v>
      </c>
      <c r="T136" s="8">
        <f t="shared" si="264"/>
        <v>2.67</v>
      </c>
      <c r="U136" s="8">
        <f t="shared" si="264"/>
        <v>20</v>
      </c>
      <c r="V136" s="8">
        <f t="shared" si="264"/>
        <v>25</v>
      </c>
      <c r="W136" s="8">
        <f t="shared" si="264"/>
        <v>40</v>
      </c>
      <c r="X136" s="8" t="str">
        <f t="shared" si="264"/>
        <v>N</v>
      </c>
      <c r="Y136" s="8" t="str">
        <f t="shared" si="264"/>
        <v>N</v>
      </c>
      <c r="Z136" s="11"/>
      <c r="AA136" s="11"/>
      <c r="AB136" s="11"/>
      <c r="AC136" s="11"/>
    </row>
    <row r="137" spans="1:29" x14ac:dyDescent="0.25">
      <c r="A137" s="7" t="str">
        <f t="shared" ref="A137" si="265">+A136</f>
        <v>1D, square, phase</v>
      </c>
      <c r="B137" s="8">
        <f t="shared" si="243"/>
        <v>0.2</v>
      </c>
      <c r="C137" s="8">
        <f t="shared" si="243"/>
        <v>0.5</v>
      </c>
      <c r="D137" s="8">
        <f t="shared" si="243"/>
        <v>0.5000806581706726</v>
      </c>
      <c r="E137" s="8">
        <f t="shared" si="243"/>
        <v>0</v>
      </c>
      <c r="F137" s="8">
        <f t="shared" si="243"/>
        <v>-5.9523809523809521E-3</v>
      </c>
      <c r="G137" s="8">
        <f t="shared" si="243"/>
        <v>20.618556701030926</v>
      </c>
      <c r="H137" s="8">
        <f t="shared" si="243"/>
        <v>0.24796000000000001</v>
      </c>
      <c r="I137" s="8">
        <v>201000</v>
      </c>
      <c r="J137" s="8">
        <f t="shared" si="243"/>
        <v>0.28906275205678333</v>
      </c>
      <c r="K137" s="8">
        <f t="shared" si="243"/>
        <v>0</v>
      </c>
      <c r="L137" s="8">
        <f t="shared" si="243"/>
        <v>-5.6179775280898875E-3</v>
      </c>
      <c r="M137" s="8">
        <f t="shared" si="243"/>
        <v>20.618556701030926</v>
      </c>
      <c r="N137" s="8">
        <f t="shared" si="243"/>
        <v>0.17124309392265194</v>
      </c>
      <c r="O137" s="8">
        <v>98999.999999999985</v>
      </c>
      <c r="P137" s="8">
        <f t="shared" si="243"/>
        <v>1</v>
      </c>
      <c r="Q137" s="8">
        <f t="shared" si="243"/>
        <v>2.9999999999999998E-14</v>
      </c>
      <c r="R137" s="8">
        <f t="shared" ref="R137:Y137" si="266">+R136</f>
        <v>0</v>
      </c>
      <c r="S137" s="8">
        <f t="shared" si="266"/>
        <v>10</v>
      </c>
      <c r="T137" s="8">
        <f t="shared" si="266"/>
        <v>2.67</v>
      </c>
      <c r="U137" s="8">
        <f t="shared" si="266"/>
        <v>20</v>
      </c>
      <c r="V137" s="8">
        <f t="shared" si="266"/>
        <v>25</v>
      </c>
      <c r="W137" s="8">
        <f t="shared" si="266"/>
        <v>40</v>
      </c>
      <c r="X137" s="8" t="str">
        <f t="shared" si="266"/>
        <v>N</v>
      </c>
      <c r="Y137" s="8" t="str">
        <f t="shared" si="266"/>
        <v>N</v>
      </c>
      <c r="Z137" s="11"/>
      <c r="AA137" s="11"/>
      <c r="AB137" s="11"/>
      <c r="AC137" s="11"/>
    </row>
    <row r="138" spans="1:29" x14ac:dyDescent="0.25">
      <c r="A138" s="7" t="str">
        <f t="shared" ref="A138" si="267">+A137</f>
        <v>1D, square, phase</v>
      </c>
      <c r="B138" s="8">
        <f t="shared" si="243"/>
        <v>0.2</v>
      </c>
      <c r="C138" s="8">
        <f t="shared" si="243"/>
        <v>0.5</v>
      </c>
      <c r="D138" s="8">
        <f t="shared" si="243"/>
        <v>0.5000806581706726</v>
      </c>
      <c r="E138" s="8">
        <f t="shared" si="243"/>
        <v>0</v>
      </c>
      <c r="F138" s="8">
        <f t="shared" si="243"/>
        <v>-5.9523809523809521E-3</v>
      </c>
      <c r="G138" s="8">
        <f t="shared" si="243"/>
        <v>20.618556701030926</v>
      </c>
      <c r="H138" s="8">
        <f t="shared" si="243"/>
        <v>0.24796000000000001</v>
      </c>
      <c r="I138" s="8">
        <v>202500</v>
      </c>
      <c r="J138" s="8">
        <f t="shared" si="243"/>
        <v>0.28906275205678333</v>
      </c>
      <c r="K138" s="8">
        <f t="shared" si="243"/>
        <v>0</v>
      </c>
      <c r="L138" s="8">
        <f t="shared" si="243"/>
        <v>-5.6179775280898875E-3</v>
      </c>
      <c r="M138" s="8">
        <f t="shared" si="243"/>
        <v>20.618556701030926</v>
      </c>
      <c r="N138" s="8">
        <f t="shared" si="243"/>
        <v>0.17124309392265194</v>
      </c>
      <c r="O138" s="8">
        <v>97499.999999999985</v>
      </c>
      <c r="P138" s="8">
        <f t="shared" si="243"/>
        <v>1</v>
      </c>
      <c r="Q138" s="8">
        <f t="shared" si="243"/>
        <v>2.9999999999999998E-14</v>
      </c>
      <c r="R138" s="8">
        <f t="shared" ref="R138:Y138" si="268">+R137</f>
        <v>0</v>
      </c>
      <c r="S138" s="8">
        <f t="shared" si="268"/>
        <v>10</v>
      </c>
      <c r="T138" s="8">
        <f t="shared" si="268"/>
        <v>2.67</v>
      </c>
      <c r="U138" s="8">
        <f t="shared" si="268"/>
        <v>20</v>
      </c>
      <c r="V138" s="8">
        <f t="shared" si="268"/>
        <v>25</v>
      </c>
      <c r="W138" s="8">
        <f t="shared" si="268"/>
        <v>40</v>
      </c>
      <c r="X138" s="8" t="str">
        <f t="shared" si="268"/>
        <v>N</v>
      </c>
      <c r="Y138" s="8" t="str">
        <f t="shared" si="268"/>
        <v>N</v>
      </c>
      <c r="Z138" s="11"/>
      <c r="AA138" s="11"/>
      <c r="AB138" s="11"/>
      <c r="AC138" s="11"/>
    </row>
    <row r="139" spans="1:29" x14ac:dyDescent="0.25">
      <c r="A139" s="7" t="str">
        <f t="shared" ref="A139" si="269">+A138</f>
        <v>1D, square, phase</v>
      </c>
      <c r="B139" s="8">
        <f t="shared" si="243"/>
        <v>0.2</v>
      </c>
      <c r="C139" s="8">
        <f t="shared" si="243"/>
        <v>0.5</v>
      </c>
      <c r="D139" s="8">
        <f t="shared" si="243"/>
        <v>0.5000806581706726</v>
      </c>
      <c r="E139" s="8">
        <f t="shared" si="243"/>
        <v>0</v>
      </c>
      <c r="F139" s="8">
        <f t="shared" si="243"/>
        <v>-5.9523809523809521E-3</v>
      </c>
      <c r="G139" s="8">
        <f t="shared" si="243"/>
        <v>20.618556701030926</v>
      </c>
      <c r="H139" s="8">
        <f t="shared" si="243"/>
        <v>0.24796000000000001</v>
      </c>
      <c r="I139" s="8">
        <v>204000</v>
      </c>
      <c r="J139" s="8">
        <f t="shared" si="243"/>
        <v>0.28906275205678333</v>
      </c>
      <c r="K139" s="8">
        <f t="shared" si="243"/>
        <v>0</v>
      </c>
      <c r="L139" s="8">
        <f t="shared" si="243"/>
        <v>-5.6179775280898875E-3</v>
      </c>
      <c r="M139" s="8">
        <f t="shared" si="243"/>
        <v>20.618556701030926</v>
      </c>
      <c r="N139" s="8">
        <f t="shared" si="243"/>
        <v>0.17124309392265194</v>
      </c>
      <c r="O139" s="8">
        <v>95999.999999999985</v>
      </c>
      <c r="P139" s="8">
        <f t="shared" si="243"/>
        <v>1</v>
      </c>
      <c r="Q139" s="8">
        <f t="shared" si="243"/>
        <v>2.9999999999999998E-14</v>
      </c>
      <c r="R139" s="8">
        <f t="shared" ref="R139:Y139" si="270">+R138</f>
        <v>0</v>
      </c>
      <c r="S139" s="8">
        <f t="shared" si="270"/>
        <v>10</v>
      </c>
      <c r="T139" s="8">
        <f t="shared" si="270"/>
        <v>2.67</v>
      </c>
      <c r="U139" s="8">
        <f t="shared" si="270"/>
        <v>20</v>
      </c>
      <c r="V139" s="8">
        <f t="shared" si="270"/>
        <v>25</v>
      </c>
      <c r="W139" s="8">
        <f t="shared" si="270"/>
        <v>40</v>
      </c>
      <c r="X139" s="8" t="str">
        <f t="shared" si="270"/>
        <v>N</v>
      </c>
      <c r="Y139" s="8" t="str">
        <f t="shared" si="270"/>
        <v>N</v>
      </c>
      <c r="Z139" s="11"/>
      <c r="AA139" s="11"/>
      <c r="AB139" s="11"/>
      <c r="AC139" s="11"/>
    </row>
    <row r="140" spans="1:29" x14ac:dyDescent="0.25">
      <c r="A140" s="7" t="str">
        <f t="shared" ref="A140" si="271">+A139</f>
        <v>1D, square, phase</v>
      </c>
      <c r="B140" s="8">
        <f t="shared" si="243"/>
        <v>0.2</v>
      </c>
      <c r="C140" s="8">
        <f t="shared" si="243"/>
        <v>0.5</v>
      </c>
      <c r="D140" s="8">
        <f t="shared" si="243"/>
        <v>0.5000806581706726</v>
      </c>
      <c r="E140" s="8">
        <f t="shared" si="243"/>
        <v>0</v>
      </c>
      <c r="F140" s="8">
        <f t="shared" si="243"/>
        <v>-5.9523809523809521E-3</v>
      </c>
      <c r="G140" s="8">
        <f t="shared" si="243"/>
        <v>20.618556701030926</v>
      </c>
      <c r="H140" s="8">
        <f t="shared" si="243"/>
        <v>0.24796000000000001</v>
      </c>
      <c r="I140" s="8">
        <v>205500</v>
      </c>
      <c r="J140" s="8">
        <f t="shared" si="243"/>
        <v>0.28906275205678333</v>
      </c>
      <c r="K140" s="8">
        <f t="shared" si="243"/>
        <v>0</v>
      </c>
      <c r="L140" s="8">
        <f t="shared" si="243"/>
        <v>-5.6179775280898875E-3</v>
      </c>
      <c r="M140" s="8">
        <f t="shared" si="243"/>
        <v>20.618556701030926</v>
      </c>
      <c r="N140" s="8">
        <f t="shared" si="243"/>
        <v>0.17124309392265194</v>
      </c>
      <c r="O140" s="8">
        <v>94499.999999999985</v>
      </c>
      <c r="P140" s="8">
        <f t="shared" si="243"/>
        <v>1</v>
      </c>
      <c r="Q140" s="8">
        <f t="shared" si="243"/>
        <v>2.9999999999999998E-14</v>
      </c>
      <c r="R140" s="8">
        <f t="shared" ref="R140:Y140" si="272">+R139</f>
        <v>0</v>
      </c>
      <c r="S140" s="8">
        <f t="shared" si="272"/>
        <v>10</v>
      </c>
      <c r="T140" s="8">
        <f t="shared" si="272"/>
        <v>2.67</v>
      </c>
      <c r="U140" s="8">
        <f t="shared" si="272"/>
        <v>20</v>
      </c>
      <c r="V140" s="8">
        <f t="shared" si="272"/>
        <v>25</v>
      </c>
      <c r="W140" s="8">
        <f t="shared" si="272"/>
        <v>40</v>
      </c>
      <c r="X140" s="8" t="str">
        <f t="shared" si="272"/>
        <v>N</v>
      </c>
      <c r="Y140" s="8" t="str">
        <f t="shared" si="272"/>
        <v>N</v>
      </c>
      <c r="Z140" s="11"/>
      <c r="AA140" s="11"/>
      <c r="AB140" s="11"/>
      <c r="AC140" s="11"/>
    </row>
    <row r="141" spans="1:29" x14ac:dyDescent="0.25">
      <c r="A141" s="7" t="str">
        <f t="shared" ref="A141" si="273">+A140</f>
        <v>1D, square, phase</v>
      </c>
      <c r="B141" s="8">
        <f t="shared" si="243"/>
        <v>0.2</v>
      </c>
      <c r="C141" s="8">
        <f t="shared" si="243"/>
        <v>0.5</v>
      </c>
      <c r="D141" s="8">
        <f t="shared" si="243"/>
        <v>0.5000806581706726</v>
      </c>
      <c r="E141" s="8">
        <f t="shared" si="243"/>
        <v>0</v>
      </c>
      <c r="F141" s="8">
        <f t="shared" si="243"/>
        <v>-5.9523809523809521E-3</v>
      </c>
      <c r="G141" s="8">
        <f t="shared" si="243"/>
        <v>20.618556701030926</v>
      </c>
      <c r="H141" s="8">
        <f t="shared" si="243"/>
        <v>0.24796000000000001</v>
      </c>
      <c r="I141" s="8">
        <v>207000</v>
      </c>
      <c r="J141" s="8">
        <f t="shared" si="243"/>
        <v>0.28906275205678333</v>
      </c>
      <c r="K141" s="8">
        <f t="shared" si="243"/>
        <v>0</v>
      </c>
      <c r="L141" s="8">
        <f t="shared" si="243"/>
        <v>-5.6179775280898875E-3</v>
      </c>
      <c r="M141" s="8">
        <f t="shared" si="243"/>
        <v>20.618556701030926</v>
      </c>
      <c r="N141" s="8">
        <f t="shared" si="243"/>
        <v>0.17124309392265194</v>
      </c>
      <c r="O141" s="8">
        <v>93000.000000000015</v>
      </c>
      <c r="P141" s="8">
        <f t="shared" si="243"/>
        <v>1</v>
      </c>
      <c r="Q141" s="8">
        <f t="shared" ref="Q141:Y141" si="274">+Q140</f>
        <v>2.9999999999999998E-14</v>
      </c>
      <c r="R141" s="8">
        <f t="shared" si="274"/>
        <v>0</v>
      </c>
      <c r="S141" s="8">
        <f t="shared" si="274"/>
        <v>10</v>
      </c>
      <c r="T141" s="8">
        <f t="shared" si="274"/>
        <v>2.67</v>
      </c>
      <c r="U141" s="8">
        <f t="shared" si="274"/>
        <v>20</v>
      </c>
      <c r="V141" s="8">
        <f t="shared" si="274"/>
        <v>25</v>
      </c>
      <c r="W141" s="8">
        <f t="shared" si="274"/>
        <v>40</v>
      </c>
      <c r="X141" s="8" t="str">
        <f t="shared" si="274"/>
        <v>N</v>
      </c>
      <c r="Y141" s="8" t="str">
        <f t="shared" si="274"/>
        <v>N</v>
      </c>
      <c r="Z141" s="11"/>
      <c r="AA141" s="11"/>
      <c r="AB141" s="11"/>
      <c r="AC141" s="11"/>
    </row>
    <row r="142" spans="1:29" x14ac:dyDescent="0.25">
      <c r="A142" s="7" t="str">
        <f t="shared" ref="A142" si="275">+A141</f>
        <v>1D, square, phase</v>
      </c>
      <c r="B142" s="8">
        <f t="shared" ref="B142:Q157" si="276">+B141</f>
        <v>0.2</v>
      </c>
      <c r="C142" s="8">
        <f t="shared" si="276"/>
        <v>0.5</v>
      </c>
      <c r="D142" s="8">
        <f t="shared" si="276"/>
        <v>0.5000806581706726</v>
      </c>
      <c r="E142" s="8">
        <f t="shared" si="276"/>
        <v>0</v>
      </c>
      <c r="F142" s="8">
        <f t="shared" si="276"/>
        <v>-5.9523809523809521E-3</v>
      </c>
      <c r="G142" s="8">
        <f t="shared" si="276"/>
        <v>20.618556701030926</v>
      </c>
      <c r="H142" s="8">
        <f t="shared" si="276"/>
        <v>0.24796000000000001</v>
      </c>
      <c r="I142" s="8">
        <v>208500</v>
      </c>
      <c r="J142" s="8">
        <f t="shared" si="276"/>
        <v>0.28906275205678333</v>
      </c>
      <c r="K142" s="8">
        <f t="shared" si="276"/>
        <v>0</v>
      </c>
      <c r="L142" s="8">
        <f t="shared" si="276"/>
        <v>-5.6179775280898875E-3</v>
      </c>
      <c r="M142" s="8">
        <f t="shared" si="276"/>
        <v>20.618556701030926</v>
      </c>
      <c r="N142" s="8">
        <f t="shared" si="276"/>
        <v>0.17124309392265194</v>
      </c>
      <c r="O142" s="8">
        <v>91500.000000000015</v>
      </c>
      <c r="P142" s="8">
        <f t="shared" si="276"/>
        <v>1</v>
      </c>
      <c r="Q142" s="8">
        <f t="shared" si="276"/>
        <v>2.9999999999999998E-14</v>
      </c>
      <c r="R142" s="8">
        <f t="shared" ref="R142:Y142" si="277">+R141</f>
        <v>0</v>
      </c>
      <c r="S142" s="8">
        <f t="shared" si="277"/>
        <v>10</v>
      </c>
      <c r="T142" s="8">
        <f t="shared" si="277"/>
        <v>2.67</v>
      </c>
      <c r="U142" s="8">
        <f t="shared" si="277"/>
        <v>20</v>
      </c>
      <c r="V142" s="8">
        <f t="shared" si="277"/>
        <v>25</v>
      </c>
      <c r="W142" s="8">
        <f t="shared" si="277"/>
        <v>40</v>
      </c>
      <c r="X142" s="8" t="str">
        <f t="shared" si="277"/>
        <v>N</v>
      </c>
      <c r="Y142" s="8" t="str">
        <f t="shared" si="277"/>
        <v>N</v>
      </c>
      <c r="Z142" s="11"/>
      <c r="AA142" s="11"/>
      <c r="AB142" s="11"/>
      <c r="AC142" s="11"/>
    </row>
    <row r="143" spans="1:29" x14ac:dyDescent="0.25">
      <c r="A143" s="7" t="str">
        <f t="shared" ref="A143" si="278">+A142</f>
        <v>1D, square, phase</v>
      </c>
      <c r="B143" s="8">
        <f t="shared" si="276"/>
        <v>0.2</v>
      </c>
      <c r="C143" s="8">
        <f t="shared" si="276"/>
        <v>0.5</v>
      </c>
      <c r="D143" s="8">
        <f t="shared" si="276"/>
        <v>0.5000806581706726</v>
      </c>
      <c r="E143" s="8">
        <f t="shared" si="276"/>
        <v>0</v>
      </c>
      <c r="F143" s="8">
        <f t="shared" si="276"/>
        <v>-5.9523809523809521E-3</v>
      </c>
      <c r="G143" s="8">
        <f t="shared" si="276"/>
        <v>20.618556701030926</v>
      </c>
      <c r="H143" s="8">
        <f t="shared" si="276"/>
        <v>0.24796000000000001</v>
      </c>
      <c r="I143" s="8">
        <v>210000</v>
      </c>
      <c r="J143" s="8">
        <f t="shared" si="276"/>
        <v>0.28906275205678333</v>
      </c>
      <c r="K143" s="8">
        <f t="shared" si="276"/>
        <v>0</v>
      </c>
      <c r="L143" s="8">
        <f t="shared" si="276"/>
        <v>-5.6179775280898875E-3</v>
      </c>
      <c r="M143" s="8">
        <f t="shared" si="276"/>
        <v>20.618556701030926</v>
      </c>
      <c r="N143" s="8">
        <f t="shared" si="276"/>
        <v>0.17124309392265194</v>
      </c>
      <c r="O143" s="8">
        <v>90000.000000000015</v>
      </c>
      <c r="P143" s="8">
        <f t="shared" si="276"/>
        <v>1</v>
      </c>
      <c r="Q143" s="8">
        <f t="shared" si="276"/>
        <v>2.9999999999999998E-14</v>
      </c>
      <c r="R143" s="8">
        <f t="shared" ref="R143:Y143" si="279">+R142</f>
        <v>0</v>
      </c>
      <c r="S143" s="8">
        <f t="shared" si="279"/>
        <v>10</v>
      </c>
      <c r="T143" s="8">
        <f t="shared" si="279"/>
        <v>2.67</v>
      </c>
      <c r="U143" s="8">
        <f t="shared" si="279"/>
        <v>20</v>
      </c>
      <c r="V143" s="8">
        <f t="shared" si="279"/>
        <v>25</v>
      </c>
      <c r="W143" s="8">
        <f t="shared" si="279"/>
        <v>40</v>
      </c>
      <c r="X143" s="8" t="str">
        <f t="shared" si="279"/>
        <v>N</v>
      </c>
      <c r="Y143" s="8" t="str">
        <f t="shared" si="279"/>
        <v>N</v>
      </c>
      <c r="Z143" s="11"/>
      <c r="AA143" s="11"/>
      <c r="AB143" s="11"/>
      <c r="AC143" s="11"/>
    </row>
    <row r="144" spans="1:29" x14ac:dyDescent="0.25">
      <c r="A144" s="7" t="str">
        <f t="shared" ref="A144" si="280">+A143</f>
        <v>1D, square, phase</v>
      </c>
      <c r="B144" s="8">
        <f t="shared" si="276"/>
        <v>0.2</v>
      </c>
      <c r="C144" s="8">
        <f t="shared" si="276"/>
        <v>0.5</v>
      </c>
      <c r="D144" s="8">
        <f t="shared" si="276"/>
        <v>0.5000806581706726</v>
      </c>
      <c r="E144" s="8">
        <f t="shared" si="276"/>
        <v>0</v>
      </c>
      <c r="F144" s="8">
        <f t="shared" si="276"/>
        <v>-5.9523809523809521E-3</v>
      </c>
      <c r="G144" s="8">
        <f t="shared" si="276"/>
        <v>20.618556701030926</v>
      </c>
      <c r="H144" s="8">
        <f t="shared" si="276"/>
        <v>0.24796000000000001</v>
      </c>
      <c r="I144" s="8">
        <v>211500</v>
      </c>
      <c r="J144" s="8">
        <f t="shared" si="276"/>
        <v>0.28906275205678333</v>
      </c>
      <c r="K144" s="8">
        <f t="shared" si="276"/>
        <v>0</v>
      </c>
      <c r="L144" s="8">
        <f t="shared" si="276"/>
        <v>-5.6179775280898875E-3</v>
      </c>
      <c r="M144" s="8">
        <f t="shared" si="276"/>
        <v>20.618556701030926</v>
      </c>
      <c r="N144" s="8">
        <f t="shared" si="276"/>
        <v>0.17124309392265194</v>
      </c>
      <c r="O144" s="8">
        <v>88500.000000000015</v>
      </c>
      <c r="P144" s="8">
        <f t="shared" si="276"/>
        <v>1</v>
      </c>
      <c r="Q144" s="8">
        <f t="shared" si="276"/>
        <v>2.9999999999999998E-14</v>
      </c>
      <c r="R144" s="8">
        <f t="shared" ref="R144:Y144" si="281">+R143</f>
        <v>0</v>
      </c>
      <c r="S144" s="8">
        <f t="shared" si="281"/>
        <v>10</v>
      </c>
      <c r="T144" s="8">
        <f t="shared" si="281"/>
        <v>2.67</v>
      </c>
      <c r="U144" s="8">
        <f t="shared" si="281"/>
        <v>20</v>
      </c>
      <c r="V144" s="8">
        <f t="shared" si="281"/>
        <v>25</v>
      </c>
      <c r="W144" s="8">
        <f t="shared" si="281"/>
        <v>40</v>
      </c>
      <c r="X144" s="8" t="str">
        <f t="shared" si="281"/>
        <v>N</v>
      </c>
      <c r="Y144" s="8" t="str">
        <f t="shared" si="281"/>
        <v>N</v>
      </c>
      <c r="Z144" s="11"/>
      <c r="AA144" s="11"/>
      <c r="AB144" s="11"/>
      <c r="AC144" s="11"/>
    </row>
    <row r="145" spans="1:29" x14ac:dyDescent="0.25">
      <c r="A145" s="7" t="str">
        <f t="shared" ref="A145" si="282">+A144</f>
        <v>1D, square, phase</v>
      </c>
      <c r="B145" s="8">
        <f t="shared" si="276"/>
        <v>0.2</v>
      </c>
      <c r="C145" s="8">
        <f t="shared" si="276"/>
        <v>0.5</v>
      </c>
      <c r="D145" s="8">
        <f t="shared" si="276"/>
        <v>0.5000806581706726</v>
      </c>
      <c r="E145" s="8">
        <f t="shared" si="276"/>
        <v>0</v>
      </c>
      <c r="F145" s="8">
        <f t="shared" si="276"/>
        <v>-5.9523809523809521E-3</v>
      </c>
      <c r="G145" s="8">
        <f t="shared" si="276"/>
        <v>20.618556701030926</v>
      </c>
      <c r="H145" s="8">
        <f t="shared" si="276"/>
        <v>0.24796000000000001</v>
      </c>
      <c r="I145" s="8">
        <v>213000</v>
      </c>
      <c r="J145" s="8">
        <f t="shared" si="276"/>
        <v>0.28906275205678333</v>
      </c>
      <c r="K145" s="8">
        <f t="shared" si="276"/>
        <v>0</v>
      </c>
      <c r="L145" s="8">
        <f t="shared" si="276"/>
        <v>-5.6179775280898875E-3</v>
      </c>
      <c r="M145" s="8">
        <f t="shared" si="276"/>
        <v>20.618556701030926</v>
      </c>
      <c r="N145" s="8">
        <f t="shared" si="276"/>
        <v>0.17124309392265194</v>
      </c>
      <c r="O145" s="8">
        <v>87000.000000000015</v>
      </c>
      <c r="P145" s="8">
        <f t="shared" si="276"/>
        <v>1</v>
      </c>
      <c r="Q145" s="8">
        <f t="shared" si="276"/>
        <v>2.9999999999999998E-14</v>
      </c>
      <c r="R145" s="8">
        <f t="shared" ref="R145:Y145" si="283">+R144</f>
        <v>0</v>
      </c>
      <c r="S145" s="8">
        <f t="shared" si="283"/>
        <v>10</v>
      </c>
      <c r="T145" s="8">
        <f t="shared" si="283"/>
        <v>2.67</v>
      </c>
      <c r="U145" s="8">
        <f t="shared" si="283"/>
        <v>20</v>
      </c>
      <c r="V145" s="8">
        <f t="shared" si="283"/>
        <v>25</v>
      </c>
      <c r="W145" s="8">
        <f t="shared" si="283"/>
        <v>40</v>
      </c>
      <c r="X145" s="8" t="str">
        <f t="shared" si="283"/>
        <v>N</v>
      </c>
      <c r="Y145" s="8" t="str">
        <f t="shared" si="283"/>
        <v>N</v>
      </c>
      <c r="Z145" s="11"/>
      <c r="AA145" s="11"/>
      <c r="AB145" s="11"/>
      <c r="AC145" s="11"/>
    </row>
    <row r="146" spans="1:29" x14ac:dyDescent="0.25">
      <c r="A146" s="7" t="str">
        <f t="shared" ref="A146" si="284">+A145</f>
        <v>1D, square, phase</v>
      </c>
      <c r="B146" s="8">
        <f t="shared" si="276"/>
        <v>0.2</v>
      </c>
      <c r="C146" s="8">
        <f t="shared" si="276"/>
        <v>0.5</v>
      </c>
      <c r="D146" s="8">
        <f t="shared" si="276"/>
        <v>0.5000806581706726</v>
      </c>
      <c r="E146" s="8">
        <f t="shared" si="276"/>
        <v>0</v>
      </c>
      <c r="F146" s="8">
        <f t="shared" si="276"/>
        <v>-5.9523809523809521E-3</v>
      </c>
      <c r="G146" s="8">
        <f t="shared" si="276"/>
        <v>20.618556701030926</v>
      </c>
      <c r="H146" s="8">
        <f t="shared" si="276"/>
        <v>0.24796000000000001</v>
      </c>
      <c r="I146" s="8">
        <v>214500</v>
      </c>
      <c r="J146" s="8">
        <f t="shared" si="276"/>
        <v>0.28906275205678333</v>
      </c>
      <c r="K146" s="8">
        <f t="shared" si="276"/>
        <v>0</v>
      </c>
      <c r="L146" s="8">
        <f t="shared" si="276"/>
        <v>-5.6179775280898875E-3</v>
      </c>
      <c r="M146" s="8">
        <f t="shared" si="276"/>
        <v>20.618556701030926</v>
      </c>
      <c r="N146" s="8">
        <f t="shared" si="276"/>
        <v>0.17124309392265194</v>
      </c>
      <c r="O146" s="8">
        <v>85500.000000000015</v>
      </c>
      <c r="P146" s="8">
        <f t="shared" si="276"/>
        <v>1</v>
      </c>
      <c r="Q146" s="8">
        <f t="shared" si="276"/>
        <v>2.9999999999999998E-14</v>
      </c>
      <c r="R146" s="8">
        <f t="shared" ref="R146:Y146" si="285">+R145</f>
        <v>0</v>
      </c>
      <c r="S146" s="8">
        <f t="shared" si="285"/>
        <v>10</v>
      </c>
      <c r="T146" s="8">
        <f t="shared" si="285"/>
        <v>2.67</v>
      </c>
      <c r="U146" s="8">
        <f t="shared" si="285"/>
        <v>20</v>
      </c>
      <c r="V146" s="8">
        <f t="shared" si="285"/>
        <v>25</v>
      </c>
      <c r="W146" s="8">
        <f t="shared" si="285"/>
        <v>40</v>
      </c>
      <c r="X146" s="8" t="str">
        <f t="shared" si="285"/>
        <v>N</v>
      </c>
      <c r="Y146" s="8" t="str">
        <f t="shared" si="285"/>
        <v>N</v>
      </c>
      <c r="Z146" s="11"/>
      <c r="AA146" s="11"/>
      <c r="AB146" s="11"/>
      <c r="AC146" s="11"/>
    </row>
    <row r="147" spans="1:29" x14ac:dyDescent="0.25">
      <c r="A147" s="7" t="str">
        <f t="shared" ref="A147" si="286">+A146</f>
        <v>1D, square, phase</v>
      </c>
      <c r="B147" s="8">
        <f t="shared" si="276"/>
        <v>0.2</v>
      </c>
      <c r="C147" s="8">
        <f t="shared" si="276"/>
        <v>0.5</v>
      </c>
      <c r="D147" s="8">
        <f t="shared" si="276"/>
        <v>0.5000806581706726</v>
      </c>
      <c r="E147" s="8">
        <f t="shared" si="276"/>
        <v>0</v>
      </c>
      <c r="F147" s="8">
        <f t="shared" si="276"/>
        <v>-5.9523809523809521E-3</v>
      </c>
      <c r="G147" s="8">
        <f t="shared" si="276"/>
        <v>20.618556701030926</v>
      </c>
      <c r="H147" s="8">
        <f t="shared" si="276"/>
        <v>0.24796000000000001</v>
      </c>
      <c r="I147" s="8">
        <v>216000</v>
      </c>
      <c r="J147" s="8">
        <f t="shared" si="276"/>
        <v>0.28906275205678333</v>
      </c>
      <c r="K147" s="8">
        <f t="shared" si="276"/>
        <v>0</v>
      </c>
      <c r="L147" s="8">
        <f t="shared" si="276"/>
        <v>-5.6179775280898875E-3</v>
      </c>
      <c r="M147" s="8">
        <f t="shared" si="276"/>
        <v>20.618556701030926</v>
      </c>
      <c r="N147" s="8">
        <f t="shared" si="276"/>
        <v>0.17124309392265194</v>
      </c>
      <c r="O147" s="8">
        <v>84000.000000000015</v>
      </c>
      <c r="P147" s="8">
        <f t="shared" si="276"/>
        <v>1</v>
      </c>
      <c r="Q147" s="8">
        <f t="shared" si="276"/>
        <v>2.9999999999999998E-14</v>
      </c>
      <c r="R147" s="8">
        <f t="shared" ref="R147:Y147" si="287">+R146</f>
        <v>0</v>
      </c>
      <c r="S147" s="8">
        <f t="shared" si="287"/>
        <v>10</v>
      </c>
      <c r="T147" s="8">
        <f t="shared" si="287"/>
        <v>2.67</v>
      </c>
      <c r="U147" s="8">
        <f t="shared" si="287"/>
        <v>20</v>
      </c>
      <c r="V147" s="8">
        <f t="shared" si="287"/>
        <v>25</v>
      </c>
      <c r="W147" s="8">
        <f t="shared" si="287"/>
        <v>40</v>
      </c>
      <c r="X147" s="8" t="str">
        <f t="shared" si="287"/>
        <v>N</v>
      </c>
      <c r="Y147" s="8" t="str">
        <f t="shared" si="287"/>
        <v>N</v>
      </c>
      <c r="Z147" s="11"/>
      <c r="AA147" s="11"/>
      <c r="AB147" s="11"/>
      <c r="AC147" s="11"/>
    </row>
    <row r="148" spans="1:29" x14ac:dyDescent="0.25">
      <c r="A148" s="7" t="str">
        <f t="shared" ref="A148" si="288">+A147</f>
        <v>1D, square, phase</v>
      </c>
      <c r="B148" s="8">
        <f t="shared" si="276"/>
        <v>0.2</v>
      </c>
      <c r="C148" s="8">
        <f t="shared" si="276"/>
        <v>0.5</v>
      </c>
      <c r="D148" s="8">
        <f t="shared" si="276"/>
        <v>0.5000806581706726</v>
      </c>
      <c r="E148" s="8">
        <f t="shared" si="276"/>
        <v>0</v>
      </c>
      <c r="F148" s="8">
        <f t="shared" si="276"/>
        <v>-5.9523809523809521E-3</v>
      </c>
      <c r="G148" s="8">
        <f t="shared" si="276"/>
        <v>20.618556701030926</v>
      </c>
      <c r="H148" s="8">
        <f t="shared" si="276"/>
        <v>0.24796000000000001</v>
      </c>
      <c r="I148" s="8">
        <v>217500</v>
      </c>
      <c r="J148" s="8">
        <f t="shared" si="276"/>
        <v>0.28906275205678333</v>
      </c>
      <c r="K148" s="8">
        <f t="shared" si="276"/>
        <v>0</v>
      </c>
      <c r="L148" s="8">
        <f t="shared" si="276"/>
        <v>-5.6179775280898875E-3</v>
      </c>
      <c r="M148" s="8">
        <f t="shared" si="276"/>
        <v>20.618556701030926</v>
      </c>
      <c r="N148" s="8">
        <f t="shared" si="276"/>
        <v>0.17124309392265194</v>
      </c>
      <c r="O148" s="8">
        <v>82500</v>
      </c>
      <c r="P148" s="8">
        <f t="shared" si="276"/>
        <v>1</v>
      </c>
      <c r="Q148" s="8">
        <f t="shared" si="276"/>
        <v>2.9999999999999998E-14</v>
      </c>
      <c r="R148" s="8">
        <f t="shared" ref="R148:Y148" si="289">+R147</f>
        <v>0</v>
      </c>
      <c r="S148" s="8">
        <f t="shared" si="289"/>
        <v>10</v>
      </c>
      <c r="T148" s="8">
        <f t="shared" si="289"/>
        <v>2.67</v>
      </c>
      <c r="U148" s="8">
        <f t="shared" si="289"/>
        <v>20</v>
      </c>
      <c r="V148" s="8">
        <f t="shared" si="289"/>
        <v>25</v>
      </c>
      <c r="W148" s="8">
        <f t="shared" si="289"/>
        <v>40</v>
      </c>
      <c r="X148" s="8" t="str">
        <f t="shared" si="289"/>
        <v>N</v>
      </c>
      <c r="Y148" s="8" t="str">
        <f t="shared" si="289"/>
        <v>N</v>
      </c>
      <c r="Z148" s="11"/>
      <c r="AA148" s="11"/>
      <c r="AB148" s="11"/>
      <c r="AC148" s="11"/>
    </row>
    <row r="149" spans="1:29" x14ac:dyDescent="0.25">
      <c r="A149" s="7" t="str">
        <f t="shared" ref="A149" si="290">+A148</f>
        <v>1D, square, phase</v>
      </c>
      <c r="B149" s="8">
        <f t="shared" si="276"/>
        <v>0.2</v>
      </c>
      <c r="C149" s="8">
        <f t="shared" si="276"/>
        <v>0.5</v>
      </c>
      <c r="D149" s="8">
        <f t="shared" si="276"/>
        <v>0.5000806581706726</v>
      </c>
      <c r="E149" s="8">
        <f t="shared" si="276"/>
        <v>0</v>
      </c>
      <c r="F149" s="8">
        <f t="shared" si="276"/>
        <v>-5.9523809523809521E-3</v>
      </c>
      <c r="G149" s="8">
        <f t="shared" si="276"/>
        <v>20.618556701030926</v>
      </c>
      <c r="H149" s="8">
        <f t="shared" si="276"/>
        <v>0.24796000000000001</v>
      </c>
      <c r="I149" s="8">
        <v>219000</v>
      </c>
      <c r="J149" s="8">
        <f t="shared" si="276"/>
        <v>0.28906275205678333</v>
      </c>
      <c r="K149" s="8">
        <f t="shared" si="276"/>
        <v>0</v>
      </c>
      <c r="L149" s="8">
        <f t="shared" si="276"/>
        <v>-5.6179775280898875E-3</v>
      </c>
      <c r="M149" s="8">
        <f t="shared" si="276"/>
        <v>20.618556701030926</v>
      </c>
      <c r="N149" s="8">
        <f t="shared" si="276"/>
        <v>0.17124309392265194</v>
      </c>
      <c r="O149" s="8">
        <v>81000</v>
      </c>
      <c r="P149" s="8">
        <f t="shared" si="276"/>
        <v>1</v>
      </c>
      <c r="Q149" s="8">
        <f t="shared" si="276"/>
        <v>2.9999999999999998E-14</v>
      </c>
      <c r="R149" s="8">
        <f t="shared" ref="R149:Y149" si="291">+R148</f>
        <v>0</v>
      </c>
      <c r="S149" s="8">
        <f t="shared" si="291"/>
        <v>10</v>
      </c>
      <c r="T149" s="8">
        <f t="shared" si="291"/>
        <v>2.67</v>
      </c>
      <c r="U149" s="8">
        <f t="shared" si="291"/>
        <v>20</v>
      </c>
      <c r="V149" s="8">
        <f t="shared" si="291"/>
        <v>25</v>
      </c>
      <c r="W149" s="8">
        <f t="shared" si="291"/>
        <v>40</v>
      </c>
      <c r="X149" s="8" t="str">
        <f t="shared" si="291"/>
        <v>N</v>
      </c>
      <c r="Y149" s="8" t="str">
        <f t="shared" si="291"/>
        <v>N</v>
      </c>
      <c r="Z149" s="11"/>
      <c r="AA149" s="11"/>
      <c r="AB149" s="11"/>
      <c r="AC149" s="11"/>
    </row>
    <row r="150" spans="1:29" x14ac:dyDescent="0.25">
      <c r="A150" s="7" t="str">
        <f t="shared" ref="A150" si="292">+A149</f>
        <v>1D, square, phase</v>
      </c>
      <c r="B150" s="8">
        <f t="shared" si="276"/>
        <v>0.2</v>
      </c>
      <c r="C150" s="8">
        <f t="shared" si="276"/>
        <v>0.5</v>
      </c>
      <c r="D150" s="8">
        <f t="shared" si="276"/>
        <v>0.5000806581706726</v>
      </c>
      <c r="E150" s="8">
        <f t="shared" si="276"/>
        <v>0</v>
      </c>
      <c r="F150" s="8">
        <f t="shared" si="276"/>
        <v>-5.9523809523809521E-3</v>
      </c>
      <c r="G150" s="8">
        <f t="shared" si="276"/>
        <v>20.618556701030926</v>
      </c>
      <c r="H150" s="8">
        <f t="shared" si="276"/>
        <v>0.24796000000000001</v>
      </c>
      <c r="I150" s="8">
        <v>220500</v>
      </c>
      <c r="J150" s="8">
        <f t="shared" si="276"/>
        <v>0.28906275205678333</v>
      </c>
      <c r="K150" s="8">
        <f t="shared" si="276"/>
        <v>0</v>
      </c>
      <c r="L150" s="8">
        <f t="shared" si="276"/>
        <v>-5.6179775280898875E-3</v>
      </c>
      <c r="M150" s="8">
        <f t="shared" si="276"/>
        <v>20.618556701030926</v>
      </c>
      <c r="N150" s="8">
        <f t="shared" si="276"/>
        <v>0.17124309392265194</v>
      </c>
      <c r="O150" s="8">
        <v>79500</v>
      </c>
      <c r="P150" s="8">
        <f t="shared" si="276"/>
        <v>1</v>
      </c>
      <c r="Q150" s="8">
        <f t="shared" si="276"/>
        <v>2.9999999999999998E-14</v>
      </c>
      <c r="R150" s="8">
        <f t="shared" ref="R150:Y150" si="293">+R149</f>
        <v>0</v>
      </c>
      <c r="S150" s="8">
        <f t="shared" si="293"/>
        <v>10</v>
      </c>
      <c r="T150" s="8">
        <f t="shared" si="293"/>
        <v>2.67</v>
      </c>
      <c r="U150" s="8">
        <f t="shared" si="293"/>
        <v>20</v>
      </c>
      <c r="V150" s="8">
        <f t="shared" si="293"/>
        <v>25</v>
      </c>
      <c r="W150" s="8">
        <f t="shared" si="293"/>
        <v>40</v>
      </c>
      <c r="X150" s="8" t="str">
        <f t="shared" si="293"/>
        <v>N</v>
      </c>
      <c r="Y150" s="8" t="str">
        <f t="shared" si="293"/>
        <v>N</v>
      </c>
      <c r="Z150" s="11"/>
      <c r="AA150" s="11"/>
      <c r="AB150" s="11"/>
      <c r="AC150" s="11"/>
    </row>
    <row r="151" spans="1:29" x14ac:dyDescent="0.25">
      <c r="A151" s="7" t="str">
        <f t="shared" ref="A151" si="294">+A150</f>
        <v>1D, square, phase</v>
      </c>
      <c r="B151" s="8">
        <f t="shared" si="276"/>
        <v>0.2</v>
      </c>
      <c r="C151" s="8">
        <f t="shared" si="276"/>
        <v>0.5</v>
      </c>
      <c r="D151" s="8">
        <f t="shared" si="276"/>
        <v>0.5000806581706726</v>
      </c>
      <c r="E151" s="8">
        <f t="shared" si="276"/>
        <v>0</v>
      </c>
      <c r="F151" s="8">
        <f t="shared" si="276"/>
        <v>-5.9523809523809521E-3</v>
      </c>
      <c r="G151" s="8">
        <f t="shared" si="276"/>
        <v>20.618556701030926</v>
      </c>
      <c r="H151" s="8">
        <f t="shared" si="276"/>
        <v>0.24796000000000001</v>
      </c>
      <c r="I151" s="8">
        <v>222000</v>
      </c>
      <c r="J151" s="8">
        <f t="shared" si="276"/>
        <v>0.28906275205678333</v>
      </c>
      <c r="K151" s="8">
        <f t="shared" si="276"/>
        <v>0</v>
      </c>
      <c r="L151" s="8">
        <f t="shared" si="276"/>
        <v>-5.6179775280898875E-3</v>
      </c>
      <c r="M151" s="8">
        <f t="shared" si="276"/>
        <v>20.618556701030926</v>
      </c>
      <c r="N151" s="8">
        <f t="shared" si="276"/>
        <v>0.17124309392265194</v>
      </c>
      <c r="O151" s="8">
        <v>78000</v>
      </c>
      <c r="P151" s="8">
        <f t="shared" si="276"/>
        <v>1</v>
      </c>
      <c r="Q151" s="8">
        <f t="shared" si="276"/>
        <v>2.9999999999999998E-14</v>
      </c>
      <c r="R151" s="8">
        <f t="shared" ref="R151:Y151" si="295">+R150</f>
        <v>0</v>
      </c>
      <c r="S151" s="8">
        <f t="shared" si="295"/>
        <v>10</v>
      </c>
      <c r="T151" s="8">
        <f t="shared" si="295"/>
        <v>2.67</v>
      </c>
      <c r="U151" s="8">
        <f t="shared" si="295"/>
        <v>20</v>
      </c>
      <c r="V151" s="8">
        <f t="shared" si="295"/>
        <v>25</v>
      </c>
      <c r="W151" s="8">
        <f t="shared" si="295"/>
        <v>40</v>
      </c>
      <c r="X151" s="8" t="str">
        <f t="shared" si="295"/>
        <v>N</v>
      </c>
      <c r="Y151" s="8" t="str">
        <f t="shared" si="295"/>
        <v>N</v>
      </c>
      <c r="Z151" s="11"/>
      <c r="AA151" s="11"/>
      <c r="AB151" s="11"/>
      <c r="AC151" s="11"/>
    </row>
    <row r="152" spans="1:29" x14ac:dyDescent="0.25">
      <c r="A152" s="7" t="str">
        <f t="shared" ref="A152" si="296">+A151</f>
        <v>1D, square, phase</v>
      </c>
      <c r="B152" s="8">
        <f t="shared" si="276"/>
        <v>0.2</v>
      </c>
      <c r="C152" s="8">
        <f t="shared" si="276"/>
        <v>0.5</v>
      </c>
      <c r="D152" s="8">
        <f t="shared" si="276"/>
        <v>0.5000806581706726</v>
      </c>
      <c r="E152" s="8">
        <f t="shared" si="276"/>
        <v>0</v>
      </c>
      <c r="F152" s="8">
        <f t="shared" si="276"/>
        <v>-5.9523809523809521E-3</v>
      </c>
      <c r="G152" s="8">
        <f t="shared" si="276"/>
        <v>20.618556701030926</v>
      </c>
      <c r="H152" s="8">
        <f t="shared" si="276"/>
        <v>0.24796000000000001</v>
      </c>
      <c r="I152" s="8">
        <v>223500</v>
      </c>
      <c r="J152" s="8">
        <f t="shared" si="276"/>
        <v>0.28906275205678333</v>
      </c>
      <c r="K152" s="8">
        <f t="shared" si="276"/>
        <v>0</v>
      </c>
      <c r="L152" s="8">
        <f t="shared" si="276"/>
        <v>-5.6179775280898875E-3</v>
      </c>
      <c r="M152" s="8">
        <f t="shared" si="276"/>
        <v>20.618556701030926</v>
      </c>
      <c r="N152" s="8">
        <f t="shared" si="276"/>
        <v>0.17124309392265194</v>
      </c>
      <c r="O152" s="8">
        <v>76500</v>
      </c>
      <c r="P152" s="8">
        <f t="shared" si="276"/>
        <v>1</v>
      </c>
      <c r="Q152" s="8">
        <f t="shared" si="276"/>
        <v>2.9999999999999998E-14</v>
      </c>
      <c r="R152" s="8">
        <f t="shared" ref="R152:Y152" si="297">+R151</f>
        <v>0</v>
      </c>
      <c r="S152" s="8">
        <f t="shared" si="297"/>
        <v>10</v>
      </c>
      <c r="T152" s="8">
        <f t="shared" si="297"/>
        <v>2.67</v>
      </c>
      <c r="U152" s="8">
        <f t="shared" si="297"/>
        <v>20</v>
      </c>
      <c r="V152" s="8">
        <f t="shared" si="297"/>
        <v>25</v>
      </c>
      <c r="W152" s="8">
        <f t="shared" si="297"/>
        <v>40</v>
      </c>
      <c r="X152" s="8" t="str">
        <f t="shared" si="297"/>
        <v>N</v>
      </c>
      <c r="Y152" s="8" t="str">
        <f t="shared" si="297"/>
        <v>N</v>
      </c>
      <c r="Z152" s="11"/>
      <c r="AA152" s="11"/>
      <c r="AB152" s="11"/>
      <c r="AC152" s="11"/>
    </row>
    <row r="153" spans="1:29" x14ac:dyDescent="0.25">
      <c r="A153" s="7" t="str">
        <f t="shared" ref="A153" si="298">+A152</f>
        <v>1D, square, phase</v>
      </c>
      <c r="B153" s="8">
        <f t="shared" si="276"/>
        <v>0.2</v>
      </c>
      <c r="C153" s="8">
        <f t="shared" si="276"/>
        <v>0.5</v>
      </c>
      <c r="D153" s="8">
        <f t="shared" si="276"/>
        <v>0.5000806581706726</v>
      </c>
      <c r="E153" s="8">
        <f t="shared" si="276"/>
        <v>0</v>
      </c>
      <c r="F153" s="8">
        <f t="shared" si="276"/>
        <v>-5.9523809523809521E-3</v>
      </c>
      <c r="G153" s="8">
        <f t="shared" si="276"/>
        <v>20.618556701030926</v>
      </c>
      <c r="H153" s="8">
        <f t="shared" si="276"/>
        <v>0.24796000000000001</v>
      </c>
      <c r="I153" s="8">
        <v>225000</v>
      </c>
      <c r="J153" s="8">
        <f t="shared" si="276"/>
        <v>0.28906275205678333</v>
      </c>
      <c r="K153" s="8">
        <f t="shared" si="276"/>
        <v>0</v>
      </c>
      <c r="L153" s="8">
        <f t="shared" si="276"/>
        <v>-5.6179775280898875E-3</v>
      </c>
      <c r="M153" s="8">
        <f t="shared" si="276"/>
        <v>20.618556701030926</v>
      </c>
      <c r="N153" s="8">
        <f t="shared" si="276"/>
        <v>0.17124309392265194</v>
      </c>
      <c r="O153" s="8">
        <v>75000</v>
      </c>
      <c r="P153" s="8">
        <f t="shared" si="276"/>
        <v>1</v>
      </c>
      <c r="Q153" s="8">
        <f t="shared" si="276"/>
        <v>2.9999999999999998E-14</v>
      </c>
      <c r="R153" s="8">
        <f t="shared" ref="R153:Y153" si="299">+R152</f>
        <v>0</v>
      </c>
      <c r="S153" s="8">
        <f t="shared" si="299"/>
        <v>10</v>
      </c>
      <c r="T153" s="8">
        <f t="shared" si="299"/>
        <v>2.67</v>
      </c>
      <c r="U153" s="8">
        <f t="shared" si="299"/>
        <v>20</v>
      </c>
      <c r="V153" s="8">
        <f t="shared" si="299"/>
        <v>25</v>
      </c>
      <c r="W153" s="8">
        <f t="shared" si="299"/>
        <v>40</v>
      </c>
      <c r="X153" s="8" t="str">
        <f t="shared" si="299"/>
        <v>N</v>
      </c>
      <c r="Y153" s="8" t="str">
        <f t="shared" si="299"/>
        <v>N</v>
      </c>
      <c r="Z153" s="11"/>
      <c r="AA153" s="11"/>
      <c r="AB153" s="11"/>
      <c r="AC153" s="11"/>
    </row>
    <row r="154" spans="1:29" x14ac:dyDescent="0.25">
      <c r="A154" s="7" t="str">
        <f t="shared" ref="A154" si="300">+A153</f>
        <v>1D, square, phase</v>
      </c>
      <c r="B154" s="8">
        <f t="shared" si="276"/>
        <v>0.2</v>
      </c>
      <c r="C154" s="8">
        <f t="shared" si="276"/>
        <v>0.5</v>
      </c>
      <c r="D154" s="8">
        <f t="shared" si="276"/>
        <v>0.5000806581706726</v>
      </c>
      <c r="E154" s="8">
        <f t="shared" si="276"/>
        <v>0</v>
      </c>
      <c r="F154" s="8">
        <f t="shared" si="276"/>
        <v>-5.9523809523809521E-3</v>
      </c>
      <c r="G154" s="8">
        <f t="shared" si="276"/>
        <v>20.618556701030926</v>
      </c>
      <c r="H154" s="8">
        <f t="shared" si="276"/>
        <v>0.24796000000000001</v>
      </c>
      <c r="I154" s="8">
        <v>226500</v>
      </c>
      <c r="J154" s="8">
        <f t="shared" si="276"/>
        <v>0.28906275205678333</v>
      </c>
      <c r="K154" s="8">
        <f t="shared" si="276"/>
        <v>0</v>
      </c>
      <c r="L154" s="8">
        <f t="shared" si="276"/>
        <v>-5.6179775280898875E-3</v>
      </c>
      <c r="M154" s="8">
        <f t="shared" si="276"/>
        <v>20.618556701030926</v>
      </c>
      <c r="N154" s="8">
        <f t="shared" si="276"/>
        <v>0.17124309392265194</v>
      </c>
      <c r="O154" s="8">
        <v>73500</v>
      </c>
      <c r="P154" s="8">
        <f t="shared" si="276"/>
        <v>1</v>
      </c>
      <c r="Q154" s="8">
        <f t="shared" si="276"/>
        <v>2.9999999999999998E-14</v>
      </c>
      <c r="R154" s="8">
        <f t="shared" ref="R154:Y154" si="301">+R153</f>
        <v>0</v>
      </c>
      <c r="S154" s="8">
        <f t="shared" si="301"/>
        <v>10</v>
      </c>
      <c r="T154" s="8">
        <f t="shared" si="301"/>
        <v>2.67</v>
      </c>
      <c r="U154" s="8">
        <f t="shared" si="301"/>
        <v>20</v>
      </c>
      <c r="V154" s="8">
        <f t="shared" si="301"/>
        <v>25</v>
      </c>
      <c r="W154" s="8">
        <f t="shared" si="301"/>
        <v>40</v>
      </c>
      <c r="X154" s="8" t="str">
        <f t="shared" si="301"/>
        <v>N</v>
      </c>
      <c r="Y154" s="8" t="str">
        <f t="shared" si="301"/>
        <v>N</v>
      </c>
      <c r="Z154" s="11"/>
      <c r="AA154" s="11"/>
      <c r="AB154" s="11"/>
      <c r="AC154" s="11"/>
    </row>
    <row r="155" spans="1:29" x14ac:dyDescent="0.25">
      <c r="A155" s="7" t="str">
        <f t="shared" ref="A155" si="302">+A154</f>
        <v>1D, square, phase</v>
      </c>
      <c r="B155" s="8">
        <f t="shared" si="276"/>
        <v>0.2</v>
      </c>
      <c r="C155" s="8">
        <f t="shared" si="276"/>
        <v>0.5</v>
      </c>
      <c r="D155" s="8">
        <f t="shared" si="276"/>
        <v>0.5000806581706726</v>
      </c>
      <c r="E155" s="8">
        <f t="shared" si="276"/>
        <v>0</v>
      </c>
      <c r="F155" s="8">
        <f t="shared" si="276"/>
        <v>-5.9523809523809521E-3</v>
      </c>
      <c r="G155" s="8">
        <f t="shared" si="276"/>
        <v>20.618556701030926</v>
      </c>
      <c r="H155" s="8">
        <f t="shared" si="276"/>
        <v>0.24796000000000001</v>
      </c>
      <c r="I155" s="8">
        <v>228000</v>
      </c>
      <c r="J155" s="8">
        <f t="shared" si="276"/>
        <v>0.28906275205678333</v>
      </c>
      <c r="K155" s="8">
        <f t="shared" si="276"/>
        <v>0</v>
      </c>
      <c r="L155" s="8">
        <f t="shared" si="276"/>
        <v>-5.6179775280898875E-3</v>
      </c>
      <c r="M155" s="8">
        <f t="shared" si="276"/>
        <v>20.618556701030926</v>
      </c>
      <c r="N155" s="8">
        <f t="shared" si="276"/>
        <v>0.17124309392265194</v>
      </c>
      <c r="O155" s="8">
        <v>72000</v>
      </c>
      <c r="P155" s="8">
        <f t="shared" si="276"/>
        <v>1</v>
      </c>
      <c r="Q155" s="8">
        <f t="shared" si="276"/>
        <v>2.9999999999999998E-14</v>
      </c>
      <c r="R155" s="8">
        <f t="shared" ref="R155:Y155" si="303">+R154</f>
        <v>0</v>
      </c>
      <c r="S155" s="8">
        <f t="shared" si="303"/>
        <v>10</v>
      </c>
      <c r="T155" s="8">
        <f t="shared" si="303"/>
        <v>2.67</v>
      </c>
      <c r="U155" s="8">
        <f t="shared" si="303"/>
        <v>20</v>
      </c>
      <c r="V155" s="8">
        <f t="shared" si="303"/>
        <v>25</v>
      </c>
      <c r="W155" s="8">
        <f t="shared" si="303"/>
        <v>40</v>
      </c>
      <c r="X155" s="8" t="str">
        <f t="shared" si="303"/>
        <v>N</v>
      </c>
      <c r="Y155" s="8" t="str">
        <f t="shared" si="303"/>
        <v>N</v>
      </c>
      <c r="Z155" s="11"/>
      <c r="AA155" s="11"/>
      <c r="AB155" s="11"/>
      <c r="AC155" s="11"/>
    </row>
    <row r="156" spans="1:29" x14ac:dyDescent="0.25">
      <c r="A156" s="7" t="str">
        <f t="shared" ref="A156" si="304">+A155</f>
        <v>1D, square, phase</v>
      </c>
      <c r="B156" s="8">
        <f t="shared" si="276"/>
        <v>0.2</v>
      </c>
      <c r="C156" s="8">
        <f t="shared" si="276"/>
        <v>0.5</v>
      </c>
      <c r="D156" s="8">
        <f t="shared" si="276"/>
        <v>0.5000806581706726</v>
      </c>
      <c r="E156" s="8">
        <f t="shared" si="276"/>
        <v>0</v>
      </c>
      <c r="F156" s="8">
        <f t="shared" si="276"/>
        <v>-5.9523809523809521E-3</v>
      </c>
      <c r="G156" s="8">
        <f t="shared" si="276"/>
        <v>20.618556701030926</v>
      </c>
      <c r="H156" s="8">
        <f t="shared" si="276"/>
        <v>0.24796000000000001</v>
      </c>
      <c r="I156" s="8">
        <v>229500</v>
      </c>
      <c r="J156" s="8">
        <f t="shared" si="276"/>
        <v>0.28906275205678333</v>
      </c>
      <c r="K156" s="8">
        <f t="shared" si="276"/>
        <v>0</v>
      </c>
      <c r="L156" s="8">
        <f t="shared" si="276"/>
        <v>-5.6179775280898875E-3</v>
      </c>
      <c r="M156" s="8">
        <f t="shared" si="276"/>
        <v>20.618556701030926</v>
      </c>
      <c r="N156" s="8">
        <f t="shared" si="276"/>
        <v>0.17124309392265194</v>
      </c>
      <c r="O156" s="8">
        <v>70500</v>
      </c>
      <c r="P156" s="8">
        <f t="shared" si="276"/>
        <v>1</v>
      </c>
      <c r="Q156" s="8">
        <f t="shared" si="276"/>
        <v>2.9999999999999998E-14</v>
      </c>
      <c r="R156" s="8">
        <f t="shared" ref="R156:Y156" si="305">+R155</f>
        <v>0</v>
      </c>
      <c r="S156" s="8">
        <f t="shared" si="305"/>
        <v>10</v>
      </c>
      <c r="T156" s="8">
        <f t="shared" si="305"/>
        <v>2.67</v>
      </c>
      <c r="U156" s="8">
        <f t="shared" si="305"/>
        <v>20</v>
      </c>
      <c r="V156" s="8">
        <f t="shared" si="305"/>
        <v>25</v>
      </c>
      <c r="W156" s="8">
        <f t="shared" si="305"/>
        <v>40</v>
      </c>
      <c r="X156" s="8" t="str">
        <f t="shared" si="305"/>
        <v>N</v>
      </c>
      <c r="Y156" s="8" t="str">
        <f t="shared" si="305"/>
        <v>N</v>
      </c>
      <c r="Z156" s="11"/>
      <c r="AA156" s="11"/>
      <c r="AB156" s="11"/>
      <c r="AC156" s="11"/>
    </row>
    <row r="157" spans="1:29" x14ac:dyDescent="0.25">
      <c r="A157" s="7" t="str">
        <f t="shared" ref="A157" si="306">+A156</f>
        <v>1D, square, phase</v>
      </c>
      <c r="B157" s="8">
        <f t="shared" si="276"/>
        <v>0.2</v>
      </c>
      <c r="C157" s="8">
        <f t="shared" si="276"/>
        <v>0.5</v>
      </c>
      <c r="D157" s="8">
        <f t="shared" si="276"/>
        <v>0.5000806581706726</v>
      </c>
      <c r="E157" s="8">
        <f t="shared" si="276"/>
        <v>0</v>
      </c>
      <c r="F157" s="8">
        <f t="shared" si="276"/>
        <v>-5.9523809523809521E-3</v>
      </c>
      <c r="G157" s="8">
        <f t="shared" si="276"/>
        <v>20.618556701030926</v>
      </c>
      <c r="H157" s="8">
        <f t="shared" si="276"/>
        <v>0.24796000000000001</v>
      </c>
      <c r="I157" s="8">
        <v>231000</v>
      </c>
      <c r="J157" s="8">
        <f t="shared" si="276"/>
        <v>0.28906275205678333</v>
      </c>
      <c r="K157" s="8">
        <f t="shared" si="276"/>
        <v>0</v>
      </c>
      <c r="L157" s="8">
        <f t="shared" si="276"/>
        <v>-5.6179775280898875E-3</v>
      </c>
      <c r="M157" s="8">
        <f t="shared" si="276"/>
        <v>20.618556701030926</v>
      </c>
      <c r="N157" s="8">
        <f t="shared" si="276"/>
        <v>0.17124309392265194</v>
      </c>
      <c r="O157" s="8">
        <v>69000</v>
      </c>
      <c r="P157" s="8">
        <f t="shared" si="276"/>
        <v>1</v>
      </c>
      <c r="Q157" s="8">
        <f t="shared" ref="Q157:Y157" si="307">+Q156</f>
        <v>2.9999999999999998E-14</v>
      </c>
      <c r="R157" s="8">
        <f t="shared" si="307"/>
        <v>0</v>
      </c>
      <c r="S157" s="8">
        <f t="shared" si="307"/>
        <v>10</v>
      </c>
      <c r="T157" s="8">
        <f t="shared" si="307"/>
        <v>2.67</v>
      </c>
      <c r="U157" s="8">
        <f t="shared" si="307"/>
        <v>20</v>
      </c>
      <c r="V157" s="8">
        <f t="shared" si="307"/>
        <v>25</v>
      </c>
      <c r="W157" s="8">
        <f t="shared" si="307"/>
        <v>40</v>
      </c>
      <c r="X157" s="8" t="str">
        <f t="shared" si="307"/>
        <v>N</v>
      </c>
      <c r="Y157" s="8" t="str">
        <f t="shared" si="307"/>
        <v>N</v>
      </c>
      <c r="Z157" s="11"/>
      <c r="AA157" s="11"/>
      <c r="AB157" s="11"/>
      <c r="AC157" s="11"/>
    </row>
    <row r="158" spans="1:29" x14ac:dyDescent="0.25">
      <c r="A158" s="7" t="str">
        <f t="shared" ref="A158" si="308">+A157</f>
        <v>1D, square, phase</v>
      </c>
      <c r="B158" s="8">
        <f t="shared" ref="B158:Q173" si="309">+B157</f>
        <v>0.2</v>
      </c>
      <c r="C158" s="8">
        <f t="shared" si="309"/>
        <v>0.5</v>
      </c>
      <c r="D158" s="8">
        <f t="shared" si="309"/>
        <v>0.5000806581706726</v>
      </c>
      <c r="E158" s="8">
        <f t="shared" si="309"/>
        <v>0</v>
      </c>
      <c r="F158" s="8">
        <f t="shared" si="309"/>
        <v>-5.9523809523809521E-3</v>
      </c>
      <c r="G158" s="8">
        <f t="shared" si="309"/>
        <v>20.618556701030926</v>
      </c>
      <c r="H158" s="8">
        <f t="shared" si="309"/>
        <v>0.24796000000000001</v>
      </c>
      <c r="I158" s="8">
        <v>232500</v>
      </c>
      <c r="J158" s="8">
        <f t="shared" si="309"/>
        <v>0.28906275205678333</v>
      </c>
      <c r="K158" s="8">
        <f t="shared" si="309"/>
        <v>0</v>
      </c>
      <c r="L158" s="8">
        <f t="shared" si="309"/>
        <v>-5.6179775280898875E-3</v>
      </c>
      <c r="M158" s="8">
        <f t="shared" si="309"/>
        <v>20.618556701030926</v>
      </c>
      <c r="N158" s="8">
        <f t="shared" si="309"/>
        <v>0.17124309392265194</v>
      </c>
      <c r="O158" s="8">
        <v>67500</v>
      </c>
      <c r="P158" s="8">
        <f t="shared" si="309"/>
        <v>1</v>
      </c>
      <c r="Q158" s="8">
        <f t="shared" si="309"/>
        <v>2.9999999999999998E-14</v>
      </c>
      <c r="R158" s="8">
        <f t="shared" ref="R158:Y158" si="310">+R157</f>
        <v>0</v>
      </c>
      <c r="S158" s="8">
        <f t="shared" si="310"/>
        <v>10</v>
      </c>
      <c r="T158" s="8">
        <f t="shared" si="310"/>
        <v>2.67</v>
      </c>
      <c r="U158" s="8">
        <f t="shared" si="310"/>
        <v>20</v>
      </c>
      <c r="V158" s="8">
        <f t="shared" si="310"/>
        <v>25</v>
      </c>
      <c r="W158" s="8">
        <f t="shared" si="310"/>
        <v>40</v>
      </c>
      <c r="X158" s="8" t="str">
        <f t="shared" si="310"/>
        <v>N</v>
      </c>
      <c r="Y158" s="8" t="str">
        <f t="shared" si="310"/>
        <v>N</v>
      </c>
      <c r="Z158" s="11"/>
      <c r="AA158" s="11"/>
      <c r="AB158" s="11"/>
      <c r="AC158" s="11"/>
    </row>
    <row r="159" spans="1:29" x14ac:dyDescent="0.25">
      <c r="A159" s="7" t="str">
        <f t="shared" ref="A159" si="311">+A158</f>
        <v>1D, square, phase</v>
      </c>
      <c r="B159" s="8">
        <f t="shared" si="309"/>
        <v>0.2</v>
      </c>
      <c r="C159" s="8">
        <f t="shared" si="309"/>
        <v>0.5</v>
      </c>
      <c r="D159" s="8">
        <f t="shared" si="309"/>
        <v>0.5000806581706726</v>
      </c>
      <c r="E159" s="8">
        <f t="shared" si="309"/>
        <v>0</v>
      </c>
      <c r="F159" s="8">
        <f t="shared" si="309"/>
        <v>-5.9523809523809521E-3</v>
      </c>
      <c r="G159" s="8">
        <f t="shared" si="309"/>
        <v>20.618556701030926</v>
      </c>
      <c r="H159" s="8">
        <f t="shared" si="309"/>
        <v>0.24796000000000001</v>
      </c>
      <c r="I159" s="8">
        <v>234000</v>
      </c>
      <c r="J159" s="8">
        <f t="shared" si="309"/>
        <v>0.28906275205678333</v>
      </c>
      <c r="K159" s="8">
        <f t="shared" si="309"/>
        <v>0</v>
      </c>
      <c r="L159" s="8">
        <f t="shared" si="309"/>
        <v>-5.6179775280898875E-3</v>
      </c>
      <c r="M159" s="8">
        <f t="shared" si="309"/>
        <v>20.618556701030926</v>
      </c>
      <c r="N159" s="8">
        <f t="shared" si="309"/>
        <v>0.17124309392265194</v>
      </c>
      <c r="O159" s="8">
        <v>65999.999999999985</v>
      </c>
      <c r="P159" s="8">
        <f t="shared" si="309"/>
        <v>1</v>
      </c>
      <c r="Q159" s="8">
        <f t="shared" si="309"/>
        <v>2.9999999999999998E-14</v>
      </c>
      <c r="R159" s="8">
        <f t="shared" ref="R159:Y159" si="312">+R158</f>
        <v>0</v>
      </c>
      <c r="S159" s="8">
        <f t="shared" si="312"/>
        <v>10</v>
      </c>
      <c r="T159" s="8">
        <f t="shared" si="312"/>
        <v>2.67</v>
      </c>
      <c r="U159" s="8">
        <f t="shared" si="312"/>
        <v>20</v>
      </c>
      <c r="V159" s="8">
        <f t="shared" si="312"/>
        <v>25</v>
      </c>
      <c r="W159" s="8">
        <f t="shared" si="312"/>
        <v>40</v>
      </c>
      <c r="X159" s="8" t="str">
        <f t="shared" si="312"/>
        <v>N</v>
      </c>
      <c r="Y159" s="8" t="str">
        <f t="shared" si="312"/>
        <v>N</v>
      </c>
      <c r="Z159" s="11"/>
      <c r="AA159" s="11"/>
      <c r="AB159" s="11"/>
      <c r="AC159" s="11"/>
    </row>
    <row r="160" spans="1:29" x14ac:dyDescent="0.25">
      <c r="A160" s="7" t="str">
        <f t="shared" ref="A160" si="313">+A159</f>
        <v>1D, square, phase</v>
      </c>
      <c r="B160" s="8">
        <f t="shared" si="309"/>
        <v>0.2</v>
      </c>
      <c r="C160" s="8">
        <f t="shared" si="309"/>
        <v>0.5</v>
      </c>
      <c r="D160" s="8">
        <f t="shared" si="309"/>
        <v>0.5000806581706726</v>
      </c>
      <c r="E160" s="8">
        <f t="shared" si="309"/>
        <v>0</v>
      </c>
      <c r="F160" s="8">
        <f t="shared" si="309"/>
        <v>-5.9523809523809521E-3</v>
      </c>
      <c r="G160" s="8">
        <f t="shared" si="309"/>
        <v>20.618556701030926</v>
      </c>
      <c r="H160" s="8">
        <f t="shared" si="309"/>
        <v>0.24796000000000001</v>
      </c>
      <c r="I160" s="8">
        <v>235500</v>
      </c>
      <c r="J160" s="8">
        <f t="shared" si="309"/>
        <v>0.28906275205678333</v>
      </c>
      <c r="K160" s="8">
        <f t="shared" si="309"/>
        <v>0</v>
      </c>
      <c r="L160" s="8">
        <f t="shared" si="309"/>
        <v>-5.6179775280898875E-3</v>
      </c>
      <c r="M160" s="8">
        <f t="shared" si="309"/>
        <v>20.618556701030926</v>
      </c>
      <c r="N160" s="8">
        <f t="shared" si="309"/>
        <v>0.17124309392265194</v>
      </c>
      <c r="O160" s="8">
        <v>64499.999999999993</v>
      </c>
      <c r="P160" s="8">
        <f t="shared" si="309"/>
        <v>1</v>
      </c>
      <c r="Q160" s="8">
        <f t="shared" si="309"/>
        <v>2.9999999999999998E-14</v>
      </c>
      <c r="R160" s="8">
        <f t="shared" ref="R160:Y160" si="314">+R159</f>
        <v>0</v>
      </c>
      <c r="S160" s="8">
        <f t="shared" si="314"/>
        <v>10</v>
      </c>
      <c r="T160" s="8">
        <f t="shared" si="314"/>
        <v>2.67</v>
      </c>
      <c r="U160" s="8">
        <f t="shared" si="314"/>
        <v>20</v>
      </c>
      <c r="V160" s="8">
        <f t="shared" si="314"/>
        <v>25</v>
      </c>
      <c r="W160" s="8">
        <f t="shared" si="314"/>
        <v>40</v>
      </c>
      <c r="X160" s="8" t="str">
        <f t="shared" si="314"/>
        <v>N</v>
      </c>
      <c r="Y160" s="8" t="str">
        <f t="shared" si="314"/>
        <v>N</v>
      </c>
      <c r="Z160" s="11"/>
      <c r="AA160" s="11"/>
      <c r="AB160" s="11"/>
      <c r="AC160" s="11"/>
    </row>
    <row r="161" spans="1:29" x14ac:dyDescent="0.25">
      <c r="A161" s="7" t="str">
        <f t="shared" ref="A161" si="315">+A160</f>
        <v>1D, square, phase</v>
      </c>
      <c r="B161" s="8">
        <f t="shared" si="309"/>
        <v>0.2</v>
      </c>
      <c r="C161" s="8">
        <f t="shared" si="309"/>
        <v>0.5</v>
      </c>
      <c r="D161" s="8">
        <f t="shared" si="309"/>
        <v>0.5000806581706726</v>
      </c>
      <c r="E161" s="8">
        <f t="shared" si="309"/>
        <v>0</v>
      </c>
      <c r="F161" s="8">
        <f t="shared" si="309"/>
        <v>-5.9523809523809521E-3</v>
      </c>
      <c r="G161" s="8">
        <f t="shared" si="309"/>
        <v>20.618556701030926</v>
      </c>
      <c r="H161" s="8">
        <f t="shared" si="309"/>
        <v>0.24796000000000001</v>
      </c>
      <c r="I161" s="8">
        <v>237000</v>
      </c>
      <c r="J161" s="8">
        <f t="shared" si="309"/>
        <v>0.28906275205678333</v>
      </c>
      <c r="K161" s="8">
        <f t="shared" si="309"/>
        <v>0</v>
      </c>
      <c r="L161" s="8">
        <f t="shared" si="309"/>
        <v>-5.6179775280898875E-3</v>
      </c>
      <c r="M161" s="8">
        <f t="shared" si="309"/>
        <v>20.618556701030926</v>
      </c>
      <c r="N161" s="8">
        <f t="shared" si="309"/>
        <v>0.17124309392265194</v>
      </c>
      <c r="O161" s="8">
        <v>62999.999999999993</v>
      </c>
      <c r="P161" s="8">
        <f t="shared" si="309"/>
        <v>1</v>
      </c>
      <c r="Q161" s="8">
        <f t="shared" si="309"/>
        <v>2.9999999999999998E-14</v>
      </c>
      <c r="R161" s="8">
        <f t="shared" ref="R161:Y161" si="316">+R160</f>
        <v>0</v>
      </c>
      <c r="S161" s="8">
        <f t="shared" si="316"/>
        <v>10</v>
      </c>
      <c r="T161" s="8">
        <f t="shared" si="316"/>
        <v>2.67</v>
      </c>
      <c r="U161" s="8">
        <f t="shared" si="316"/>
        <v>20</v>
      </c>
      <c r="V161" s="8">
        <f t="shared" si="316"/>
        <v>25</v>
      </c>
      <c r="W161" s="8">
        <f t="shared" si="316"/>
        <v>40</v>
      </c>
      <c r="X161" s="8" t="str">
        <f t="shared" si="316"/>
        <v>N</v>
      </c>
      <c r="Y161" s="8" t="str">
        <f t="shared" si="316"/>
        <v>N</v>
      </c>
      <c r="Z161" s="11"/>
      <c r="AA161" s="11"/>
      <c r="AB161" s="11"/>
      <c r="AC161" s="11"/>
    </row>
    <row r="162" spans="1:29" x14ac:dyDescent="0.25">
      <c r="A162" s="7" t="str">
        <f t="shared" ref="A162" si="317">+A161</f>
        <v>1D, square, phase</v>
      </c>
      <c r="B162" s="8">
        <f t="shared" si="309"/>
        <v>0.2</v>
      </c>
      <c r="C162" s="8">
        <f t="shared" si="309"/>
        <v>0.5</v>
      </c>
      <c r="D162" s="8">
        <f t="shared" si="309"/>
        <v>0.5000806581706726</v>
      </c>
      <c r="E162" s="8">
        <f t="shared" si="309"/>
        <v>0</v>
      </c>
      <c r="F162" s="8">
        <f t="shared" si="309"/>
        <v>-5.9523809523809521E-3</v>
      </c>
      <c r="G162" s="8">
        <f t="shared" si="309"/>
        <v>20.618556701030926</v>
      </c>
      <c r="H162" s="8">
        <f t="shared" si="309"/>
        <v>0.24796000000000001</v>
      </c>
      <c r="I162" s="8">
        <v>238500</v>
      </c>
      <c r="J162" s="8">
        <f t="shared" si="309"/>
        <v>0.28906275205678333</v>
      </c>
      <c r="K162" s="8">
        <f t="shared" si="309"/>
        <v>0</v>
      </c>
      <c r="L162" s="8">
        <f t="shared" si="309"/>
        <v>-5.6179775280898875E-3</v>
      </c>
      <c r="M162" s="8">
        <f t="shared" si="309"/>
        <v>20.618556701030926</v>
      </c>
      <c r="N162" s="8">
        <f t="shared" si="309"/>
        <v>0.17124309392265194</v>
      </c>
      <c r="O162" s="8">
        <v>61499.999999999985</v>
      </c>
      <c r="P162" s="8">
        <f t="shared" si="309"/>
        <v>1</v>
      </c>
      <c r="Q162" s="8">
        <f t="shared" si="309"/>
        <v>2.9999999999999998E-14</v>
      </c>
      <c r="R162" s="8">
        <f t="shared" ref="R162:Y162" si="318">+R161</f>
        <v>0</v>
      </c>
      <c r="S162" s="8">
        <f t="shared" si="318"/>
        <v>10</v>
      </c>
      <c r="T162" s="8">
        <f t="shared" si="318"/>
        <v>2.67</v>
      </c>
      <c r="U162" s="8">
        <f t="shared" si="318"/>
        <v>20</v>
      </c>
      <c r="V162" s="8">
        <f t="shared" si="318"/>
        <v>25</v>
      </c>
      <c r="W162" s="8">
        <f t="shared" si="318"/>
        <v>40</v>
      </c>
      <c r="X162" s="8" t="str">
        <f t="shared" si="318"/>
        <v>N</v>
      </c>
      <c r="Y162" s="8" t="str">
        <f t="shared" si="318"/>
        <v>N</v>
      </c>
      <c r="Z162" s="11"/>
      <c r="AA162" s="11"/>
      <c r="AB162" s="11"/>
      <c r="AC162" s="11"/>
    </row>
    <row r="163" spans="1:29" x14ac:dyDescent="0.25">
      <c r="A163" s="7" t="str">
        <f t="shared" ref="A163" si="319">+A162</f>
        <v>1D, square, phase</v>
      </c>
      <c r="B163" s="8">
        <f t="shared" si="309"/>
        <v>0.2</v>
      </c>
      <c r="C163" s="8">
        <f t="shared" si="309"/>
        <v>0.5</v>
      </c>
      <c r="D163" s="8">
        <f t="shared" si="309"/>
        <v>0.5000806581706726</v>
      </c>
      <c r="E163" s="8">
        <f t="shared" si="309"/>
        <v>0</v>
      </c>
      <c r="F163" s="8">
        <f t="shared" si="309"/>
        <v>-5.9523809523809521E-3</v>
      </c>
      <c r="G163" s="8">
        <f t="shared" si="309"/>
        <v>20.618556701030926</v>
      </c>
      <c r="H163" s="8">
        <f t="shared" si="309"/>
        <v>0.24796000000000001</v>
      </c>
      <c r="I163" s="8">
        <v>240000</v>
      </c>
      <c r="J163" s="8">
        <f t="shared" si="309"/>
        <v>0.28906275205678333</v>
      </c>
      <c r="K163" s="8">
        <f t="shared" si="309"/>
        <v>0</v>
      </c>
      <c r="L163" s="8">
        <f t="shared" si="309"/>
        <v>-5.6179775280898875E-3</v>
      </c>
      <c r="M163" s="8">
        <f t="shared" si="309"/>
        <v>20.618556701030926</v>
      </c>
      <c r="N163" s="8">
        <f t="shared" si="309"/>
        <v>0.17124309392265194</v>
      </c>
      <c r="O163" s="8">
        <v>59999.999999999985</v>
      </c>
      <c r="P163" s="8">
        <f t="shared" si="309"/>
        <v>1</v>
      </c>
      <c r="Q163" s="8">
        <f t="shared" si="309"/>
        <v>2.9999999999999998E-14</v>
      </c>
      <c r="R163" s="8">
        <f t="shared" ref="R163:Y163" si="320">+R162</f>
        <v>0</v>
      </c>
      <c r="S163" s="8">
        <f t="shared" si="320"/>
        <v>10</v>
      </c>
      <c r="T163" s="8">
        <f t="shared" si="320"/>
        <v>2.67</v>
      </c>
      <c r="U163" s="8">
        <f t="shared" si="320"/>
        <v>20</v>
      </c>
      <c r="V163" s="8">
        <f t="shared" si="320"/>
        <v>25</v>
      </c>
      <c r="W163" s="8">
        <f t="shared" si="320"/>
        <v>40</v>
      </c>
      <c r="X163" s="8" t="str">
        <f t="shared" si="320"/>
        <v>N</v>
      </c>
      <c r="Y163" s="8" t="str">
        <f t="shared" si="320"/>
        <v>N</v>
      </c>
      <c r="Z163" s="11"/>
      <c r="AA163" s="11"/>
      <c r="AB163" s="11"/>
      <c r="AC163" s="11"/>
    </row>
    <row r="164" spans="1:29" x14ac:dyDescent="0.25">
      <c r="A164" s="7" t="str">
        <f t="shared" ref="A164" si="321">+A163</f>
        <v>1D, square, phase</v>
      </c>
      <c r="B164" s="8">
        <f t="shared" si="309"/>
        <v>0.2</v>
      </c>
      <c r="C164" s="8">
        <f t="shared" si="309"/>
        <v>0.5</v>
      </c>
      <c r="D164" s="8">
        <f t="shared" si="309"/>
        <v>0.5000806581706726</v>
      </c>
      <c r="E164" s="8">
        <f t="shared" si="309"/>
        <v>0</v>
      </c>
      <c r="F164" s="8">
        <f t="shared" si="309"/>
        <v>-5.9523809523809521E-3</v>
      </c>
      <c r="G164" s="8">
        <f t="shared" si="309"/>
        <v>20.618556701030926</v>
      </c>
      <c r="H164" s="8">
        <f t="shared" si="309"/>
        <v>0.24796000000000001</v>
      </c>
      <c r="I164" s="8">
        <v>241500</v>
      </c>
      <c r="J164" s="8">
        <f t="shared" si="309"/>
        <v>0.28906275205678333</v>
      </c>
      <c r="K164" s="8">
        <f t="shared" si="309"/>
        <v>0</v>
      </c>
      <c r="L164" s="8">
        <f t="shared" si="309"/>
        <v>-5.6179775280898875E-3</v>
      </c>
      <c r="M164" s="8">
        <f t="shared" si="309"/>
        <v>20.618556701030926</v>
      </c>
      <c r="N164" s="8">
        <f t="shared" si="309"/>
        <v>0.17124309392265194</v>
      </c>
      <c r="O164" s="8">
        <v>58499.999999999985</v>
      </c>
      <c r="P164" s="8">
        <f t="shared" si="309"/>
        <v>1</v>
      </c>
      <c r="Q164" s="8">
        <f t="shared" si="309"/>
        <v>2.9999999999999998E-14</v>
      </c>
      <c r="R164" s="8">
        <f t="shared" ref="R164:Y164" si="322">+R163</f>
        <v>0</v>
      </c>
      <c r="S164" s="8">
        <f t="shared" si="322"/>
        <v>10</v>
      </c>
      <c r="T164" s="8">
        <f t="shared" si="322"/>
        <v>2.67</v>
      </c>
      <c r="U164" s="8">
        <f t="shared" si="322"/>
        <v>20</v>
      </c>
      <c r="V164" s="8">
        <f t="shared" si="322"/>
        <v>25</v>
      </c>
      <c r="W164" s="8">
        <f t="shared" si="322"/>
        <v>40</v>
      </c>
      <c r="X164" s="8" t="str">
        <f t="shared" si="322"/>
        <v>N</v>
      </c>
      <c r="Y164" s="8" t="str">
        <f t="shared" si="322"/>
        <v>N</v>
      </c>
      <c r="Z164" s="11"/>
      <c r="AA164" s="11"/>
      <c r="AB164" s="11"/>
      <c r="AC164" s="11"/>
    </row>
    <row r="165" spans="1:29" x14ac:dyDescent="0.25">
      <c r="A165" s="7" t="str">
        <f t="shared" ref="A165" si="323">+A164</f>
        <v>1D, square, phase</v>
      </c>
      <c r="B165" s="8">
        <f t="shared" si="309"/>
        <v>0.2</v>
      </c>
      <c r="C165" s="8">
        <f t="shared" si="309"/>
        <v>0.5</v>
      </c>
      <c r="D165" s="8">
        <f t="shared" si="309"/>
        <v>0.5000806581706726</v>
      </c>
      <c r="E165" s="8">
        <f t="shared" si="309"/>
        <v>0</v>
      </c>
      <c r="F165" s="8">
        <f t="shared" si="309"/>
        <v>-5.9523809523809521E-3</v>
      </c>
      <c r="G165" s="8">
        <f t="shared" si="309"/>
        <v>20.618556701030926</v>
      </c>
      <c r="H165" s="8">
        <f t="shared" si="309"/>
        <v>0.24796000000000001</v>
      </c>
      <c r="I165" s="8">
        <v>243000</v>
      </c>
      <c r="J165" s="8">
        <f t="shared" si="309"/>
        <v>0.28906275205678333</v>
      </c>
      <c r="K165" s="8">
        <f t="shared" si="309"/>
        <v>0</v>
      </c>
      <c r="L165" s="8">
        <f t="shared" si="309"/>
        <v>-5.6179775280898875E-3</v>
      </c>
      <c r="M165" s="8">
        <f t="shared" si="309"/>
        <v>20.618556701030926</v>
      </c>
      <c r="N165" s="8">
        <f t="shared" si="309"/>
        <v>0.17124309392265194</v>
      </c>
      <c r="O165" s="8">
        <v>56999.999999999985</v>
      </c>
      <c r="P165" s="8">
        <f t="shared" si="309"/>
        <v>1</v>
      </c>
      <c r="Q165" s="8">
        <f t="shared" si="309"/>
        <v>2.9999999999999998E-14</v>
      </c>
      <c r="R165" s="8">
        <f t="shared" ref="R165:Y165" si="324">+R164</f>
        <v>0</v>
      </c>
      <c r="S165" s="8">
        <f t="shared" si="324"/>
        <v>10</v>
      </c>
      <c r="T165" s="8">
        <f t="shared" si="324"/>
        <v>2.67</v>
      </c>
      <c r="U165" s="8">
        <f t="shared" si="324"/>
        <v>20</v>
      </c>
      <c r="V165" s="8">
        <f t="shared" si="324"/>
        <v>25</v>
      </c>
      <c r="W165" s="8">
        <f t="shared" si="324"/>
        <v>40</v>
      </c>
      <c r="X165" s="8" t="str">
        <f t="shared" si="324"/>
        <v>N</v>
      </c>
      <c r="Y165" s="8" t="str">
        <f t="shared" si="324"/>
        <v>N</v>
      </c>
      <c r="Z165" s="11"/>
      <c r="AA165" s="11"/>
      <c r="AB165" s="11"/>
      <c r="AC165" s="11"/>
    </row>
    <row r="166" spans="1:29" x14ac:dyDescent="0.25">
      <c r="A166" s="7" t="str">
        <f t="shared" ref="A166" si="325">+A165</f>
        <v>1D, square, phase</v>
      </c>
      <c r="B166" s="8">
        <f t="shared" si="309"/>
        <v>0.2</v>
      </c>
      <c r="C166" s="8">
        <f t="shared" si="309"/>
        <v>0.5</v>
      </c>
      <c r="D166" s="8">
        <f t="shared" si="309"/>
        <v>0.5000806581706726</v>
      </c>
      <c r="E166" s="8">
        <f t="shared" si="309"/>
        <v>0</v>
      </c>
      <c r="F166" s="8">
        <f t="shared" si="309"/>
        <v>-5.9523809523809521E-3</v>
      </c>
      <c r="G166" s="8">
        <f t="shared" si="309"/>
        <v>20.618556701030926</v>
      </c>
      <c r="H166" s="8">
        <f t="shared" si="309"/>
        <v>0.24796000000000001</v>
      </c>
      <c r="I166" s="8">
        <v>244500</v>
      </c>
      <c r="J166" s="8">
        <f t="shared" si="309"/>
        <v>0.28906275205678333</v>
      </c>
      <c r="K166" s="8">
        <f t="shared" si="309"/>
        <v>0</v>
      </c>
      <c r="L166" s="8">
        <f t="shared" si="309"/>
        <v>-5.6179775280898875E-3</v>
      </c>
      <c r="M166" s="8">
        <f t="shared" si="309"/>
        <v>20.618556701030926</v>
      </c>
      <c r="N166" s="8">
        <f t="shared" si="309"/>
        <v>0.17124309392265194</v>
      </c>
      <c r="O166" s="8">
        <v>55500.000000000015</v>
      </c>
      <c r="P166" s="8">
        <f t="shared" si="309"/>
        <v>1</v>
      </c>
      <c r="Q166" s="8">
        <f t="shared" si="309"/>
        <v>2.9999999999999998E-14</v>
      </c>
      <c r="R166" s="8">
        <f t="shared" ref="R166:Y166" si="326">+R165</f>
        <v>0</v>
      </c>
      <c r="S166" s="8">
        <f t="shared" si="326"/>
        <v>10</v>
      </c>
      <c r="T166" s="8">
        <f t="shared" si="326"/>
        <v>2.67</v>
      </c>
      <c r="U166" s="8">
        <f t="shared" si="326"/>
        <v>20</v>
      </c>
      <c r="V166" s="8">
        <f t="shared" si="326"/>
        <v>25</v>
      </c>
      <c r="W166" s="8">
        <f t="shared" si="326"/>
        <v>40</v>
      </c>
      <c r="X166" s="8" t="str">
        <f t="shared" si="326"/>
        <v>N</v>
      </c>
      <c r="Y166" s="8" t="str">
        <f t="shared" si="326"/>
        <v>N</v>
      </c>
      <c r="Z166" s="11"/>
      <c r="AA166" s="11"/>
      <c r="AB166" s="11"/>
      <c r="AC166" s="11"/>
    </row>
    <row r="167" spans="1:29" x14ac:dyDescent="0.25">
      <c r="A167" s="7" t="str">
        <f t="shared" ref="A167" si="327">+A166</f>
        <v>1D, square, phase</v>
      </c>
      <c r="B167" s="8">
        <f t="shared" si="309"/>
        <v>0.2</v>
      </c>
      <c r="C167" s="8">
        <f t="shared" si="309"/>
        <v>0.5</v>
      </c>
      <c r="D167" s="8">
        <f t="shared" si="309"/>
        <v>0.5000806581706726</v>
      </c>
      <c r="E167" s="8">
        <f t="shared" si="309"/>
        <v>0</v>
      </c>
      <c r="F167" s="8">
        <f t="shared" si="309"/>
        <v>-5.9523809523809521E-3</v>
      </c>
      <c r="G167" s="8">
        <f t="shared" si="309"/>
        <v>20.618556701030926</v>
      </c>
      <c r="H167" s="8">
        <f t="shared" si="309"/>
        <v>0.24796000000000001</v>
      </c>
      <c r="I167" s="8">
        <v>246000</v>
      </c>
      <c r="J167" s="8">
        <f t="shared" si="309"/>
        <v>0.28906275205678333</v>
      </c>
      <c r="K167" s="8">
        <f t="shared" si="309"/>
        <v>0</v>
      </c>
      <c r="L167" s="8">
        <f t="shared" si="309"/>
        <v>-5.6179775280898875E-3</v>
      </c>
      <c r="M167" s="8">
        <f t="shared" si="309"/>
        <v>20.618556701030926</v>
      </c>
      <c r="N167" s="8">
        <f t="shared" si="309"/>
        <v>0.17124309392265194</v>
      </c>
      <c r="O167" s="8">
        <v>54000.000000000015</v>
      </c>
      <c r="P167" s="8">
        <f t="shared" si="309"/>
        <v>1</v>
      </c>
      <c r="Q167" s="8">
        <f t="shared" si="309"/>
        <v>2.9999999999999998E-14</v>
      </c>
      <c r="R167" s="8">
        <f t="shared" ref="R167:Y167" si="328">+R166</f>
        <v>0</v>
      </c>
      <c r="S167" s="8">
        <f t="shared" si="328"/>
        <v>10</v>
      </c>
      <c r="T167" s="8">
        <f t="shared" si="328"/>
        <v>2.67</v>
      </c>
      <c r="U167" s="8">
        <f t="shared" si="328"/>
        <v>20</v>
      </c>
      <c r="V167" s="8">
        <f t="shared" si="328"/>
        <v>25</v>
      </c>
      <c r="W167" s="8">
        <f t="shared" si="328"/>
        <v>40</v>
      </c>
      <c r="X167" s="8" t="str">
        <f t="shared" si="328"/>
        <v>N</v>
      </c>
      <c r="Y167" s="8" t="str">
        <f t="shared" si="328"/>
        <v>N</v>
      </c>
      <c r="Z167" s="11"/>
      <c r="AA167" s="11"/>
      <c r="AB167" s="11"/>
      <c r="AC167" s="11"/>
    </row>
    <row r="168" spans="1:29" x14ac:dyDescent="0.25">
      <c r="A168" s="7" t="str">
        <f t="shared" ref="A168" si="329">+A167</f>
        <v>1D, square, phase</v>
      </c>
      <c r="B168" s="8">
        <f t="shared" si="309"/>
        <v>0.2</v>
      </c>
      <c r="C168" s="8">
        <f t="shared" si="309"/>
        <v>0.5</v>
      </c>
      <c r="D168" s="8">
        <f t="shared" si="309"/>
        <v>0.5000806581706726</v>
      </c>
      <c r="E168" s="8">
        <f t="shared" si="309"/>
        <v>0</v>
      </c>
      <c r="F168" s="8">
        <f t="shared" si="309"/>
        <v>-5.9523809523809521E-3</v>
      </c>
      <c r="G168" s="8">
        <f t="shared" si="309"/>
        <v>20.618556701030926</v>
      </c>
      <c r="H168" s="8">
        <f t="shared" si="309"/>
        <v>0.24796000000000001</v>
      </c>
      <c r="I168" s="8">
        <v>247500</v>
      </c>
      <c r="J168" s="8">
        <f t="shared" si="309"/>
        <v>0.28906275205678333</v>
      </c>
      <c r="K168" s="8">
        <f t="shared" si="309"/>
        <v>0</v>
      </c>
      <c r="L168" s="8">
        <f t="shared" si="309"/>
        <v>-5.6179775280898875E-3</v>
      </c>
      <c r="M168" s="8">
        <f t="shared" si="309"/>
        <v>20.618556701030926</v>
      </c>
      <c r="N168" s="8">
        <f t="shared" si="309"/>
        <v>0.17124309392265194</v>
      </c>
      <c r="O168" s="8">
        <v>52500.000000000015</v>
      </c>
      <c r="P168" s="8">
        <f t="shared" si="309"/>
        <v>1</v>
      </c>
      <c r="Q168" s="8">
        <f t="shared" si="309"/>
        <v>2.9999999999999998E-14</v>
      </c>
      <c r="R168" s="8">
        <f t="shared" ref="R168:Y168" si="330">+R167</f>
        <v>0</v>
      </c>
      <c r="S168" s="8">
        <f t="shared" si="330"/>
        <v>10</v>
      </c>
      <c r="T168" s="8">
        <f t="shared" si="330"/>
        <v>2.67</v>
      </c>
      <c r="U168" s="8">
        <f t="shared" si="330"/>
        <v>20</v>
      </c>
      <c r="V168" s="8">
        <f t="shared" si="330"/>
        <v>25</v>
      </c>
      <c r="W168" s="8">
        <f t="shared" si="330"/>
        <v>40</v>
      </c>
      <c r="X168" s="8" t="str">
        <f t="shared" si="330"/>
        <v>N</v>
      </c>
      <c r="Y168" s="8" t="str">
        <f t="shared" si="330"/>
        <v>N</v>
      </c>
      <c r="Z168" s="11"/>
      <c r="AA168" s="11"/>
      <c r="AB168" s="11"/>
      <c r="AC168" s="11"/>
    </row>
    <row r="169" spans="1:29" x14ac:dyDescent="0.25">
      <c r="A169" s="7" t="str">
        <f t="shared" ref="A169" si="331">+A168</f>
        <v>1D, square, phase</v>
      </c>
      <c r="B169" s="8">
        <f t="shared" si="309"/>
        <v>0.2</v>
      </c>
      <c r="C169" s="8">
        <f t="shared" si="309"/>
        <v>0.5</v>
      </c>
      <c r="D169" s="8">
        <f t="shared" si="309"/>
        <v>0.5000806581706726</v>
      </c>
      <c r="E169" s="8">
        <f t="shared" si="309"/>
        <v>0</v>
      </c>
      <c r="F169" s="8">
        <f t="shared" si="309"/>
        <v>-5.9523809523809521E-3</v>
      </c>
      <c r="G169" s="8">
        <f t="shared" si="309"/>
        <v>20.618556701030926</v>
      </c>
      <c r="H169" s="8">
        <f t="shared" si="309"/>
        <v>0.24796000000000001</v>
      </c>
      <c r="I169" s="8">
        <v>249000</v>
      </c>
      <c r="J169" s="8">
        <f t="shared" si="309"/>
        <v>0.28906275205678333</v>
      </c>
      <c r="K169" s="8">
        <f t="shared" si="309"/>
        <v>0</v>
      </c>
      <c r="L169" s="8">
        <f t="shared" si="309"/>
        <v>-5.6179775280898875E-3</v>
      </c>
      <c r="M169" s="8">
        <f t="shared" si="309"/>
        <v>20.618556701030926</v>
      </c>
      <c r="N169" s="8">
        <f t="shared" si="309"/>
        <v>0.17124309392265194</v>
      </c>
      <c r="O169" s="8">
        <v>51000.000000000015</v>
      </c>
      <c r="P169" s="8">
        <f t="shared" si="309"/>
        <v>1</v>
      </c>
      <c r="Q169" s="8">
        <f t="shared" si="309"/>
        <v>2.9999999999999998E-14</v>
      </c>
      <c r="R169" s="8">
        <f t="shared" ref="R169:Y169" si="332">+R168</f>
        <v>0</v>
      </c>
      <c r="S169" s="8">
        <f t="shared" si="332"/>
        <v>10</v>
      </c>
      <c r="T169" s="8">
        <f t="shared" si="332"/>
        <v>2.67</v>
      </c>
      <c r="U169" s="8">
        <f t="shared" si="332"/>
        <v>20</v>
      </c>
      <c r="V169" s="8">
        <f t="shared" si="332"/>
        <v>25</v>
      </c>
      <c r="W169" s="8">
        <f t="shared" si="332"/>
        <v>40</v>
      </c>
      <c r="X169" s="8" t="str">
        <f t="shared" si="332"/>
        <v>N</v>
      </c>
      <c r="Y169" s="8" t="str">
        <f t="shared" si="332"/>
        <v>N</v>
      </c>
      <c r="Z169" s="11"/>
      <c r="AA169" s="11"/>
      <c r="AB169" s="11"/>
      <c r="AC169" s="11"/>
    </row>
    <row r="170" spans="1:29" x14ac:dyDescent="0.25">
      <c r="A170" s="7" t="str">
        <f t="shared" ref="A170" si="333">+A169</f>
        <v>1D, square, phase</v>
      </c>
      <c r="B170" s="8">
        <f t="shared" si="309"/>
        <v>0.2</v>
      </c>
      <c r="C170" s="8">
        <f t="shared" si="309"/>
        <v>0.5</v>
      </c>
      <c r="D170" s="8">
        <f t="shared" si="309"/>
        <v>0.5000806581706726</v>
      </c>
      <c r="E170" s="8">
        <f t="shared" si="309"/>
        <v>0</v>
      </c>
      <c r="F170" s="8">
        <f t="shared" si="309"/>
        <v>-5.9523809523809521E-3</v>
      </c>
      <c r="G170" s="8">
        <f t="shared" si="309"/>
        <v>20.618556701030926</v>
      </c>
      <c r="H170" s="8">
        <f t="shared" si="309"/>
        <v>0.24796000000000001</v>
      </c>
      <c r="I170" s="8">
        <v>250500</v>
      </c>
      <c r="J170" s="8">
        <f t="shared" si="309"/>
        <v>0.28906275205678333</v>
      </c>
      <c r="K170" s="8">
        <f t="shared" si="309"/>
        <v>0</v>
      </c>
      <c r="L170" s="8">
        <f t="shared" si="309"/>
        <v>-5.6179775280898875E-3</v>
      </c>
      <c r="M170" s="8">
        <f t="shared" si="309"/>
        <v>20.618556701030926</v>
      </c>
      <c r="N170" s="8">
        <f t="shared" si="309"/>
        <v>0.17124309392265194</v>
      </c>
      <c r="O170" s="8">
        <v>49500.000000000007</v>
      </c>
      <c r="P170" s="8">
        <f t="shared" si="309"/>
        <v>1</v>
      </c>
      <c r="Q170" s="8">
        <f t="shared" si="309"/>
        <v>2.9999999999999998E-14</v>
      </c>
      <c r="R170" s="8">
        <f t="shared" ref="R170:Y170" si="334">+R169</f>
        <v>0</v>
      </c>
      <c r="S170" s="8">
        <f t="shared" si="334"/>
        <v>10</v>
      </c>
      <c r="T170" s="8">
        <f t="shared" si="334"/>
        <v>2.67</v>
      </c>
      <c r="U170" s="8">
        <f t="shared" si="334"/>
        <v>20</v>
      </c>
      <c r="V170" s="8">
        <f t="shared" si="334"/>
        <v>25</v>
      </c>
      <c r="W170" s="8">
        <f t="shared" si="334"/>
        <v>40</v>
      </c>
      <c r="X170" s="8" t="str">
        <f t="shared" si="334"/>
        <v>N</v>
      </c>
      <c r="Y170" s="8" t="str">
        <f t="shared" si="334"/>
        <v>N</v>
      </c>
      <c r="Z170" s="11"/>
      <c r="AA170" s="11"/>
      <c r="AB170" s="11"/>
      <c r="AC170" s="11"/>
    </row>
    <row r="171" spans="1:29" x14ac:dyDescent="0.25">
      <c r="A171" s="7" t="str">
        <f t="shared" ref="A171" si="335">+A170</f>
        <v>1D, square, phase</v>
      </c>
      <c r="B171" s="8">
        <f t="shared" si="309"/>
        <v>0.2</v>
      </c>
      <c r="C171" s="8">
        <f t="shared" si="309"/>
        <v>0.5</v>
      </c>
      <c r="D171" s="8">
        <f t="shared" si="309"/>
        <v>0.5000806581706726</v>
      </c>
      <c r="E171" s="8">
        <f t="shared" si="309"/>
        <v>0</v>
      </c>
      <c r="F171" s="8">
        <f t="shared" si="309"/>
        <v>-5.9523809523809521E-3</v>
      </c>
      <c r="G171" s="8">
        <f t="shared" si="309"/>
        <v>20.618556701030926</v>
      </c>
      <c r="H171" s="8">
        <f t="shared" si="309"/>
        <v>0.24796000000000001</v>
      </c>
      <c r="I171" s="8">
        <v>252000</v>
      </c>
      <c r="J171" s="8">
        <f t="shared" si="309"/>
        <v>0.28906275205678333</v>
      </c>
      <c r="K171" s="8">
        <f t="shared" si="309"/>
        <v>0</v>
      </c>
      <c r="L171" s="8">
        <f t="shared" si="309"/>
        <v>-5.6179775280898875E-3</v>
      </c>
      <c r="M171" s="8">
        <f t="shared" si="309"/>
        <v>20.618556701030926</v>
      </c>
      <c r="N171" s="8">
        <f t="shared" si="309"/>
        <v>0.17124309392265194</v>
      </c>
      <c r="O171" s="8">
        <v>48000.000000000007</v>
      </c>
      <c r="P171" s="8">
        <f t="shared" si="309"/>
        <v>1</v>
      </c>
      <c r="Q171" s="8">
        <f t="shared" si="309"/>
        <v>2.9999999999999998E-14</v>
      </c>
      <c r="R171" s="8">
        <f t="shared" ref="R171:Y171" si="336">+R170</f>
        <v>0</v>
      </c>
      <c r="S171" s="8">
        <f t="shared" si="336"/>
        <v>10</v>
      </c>
      <c r="T171" s="8">
        <f t="shared" si="336"/>
        <v>2.67</v>
      </c>
      <c r="U171" s="8">
        <f t="shared" si="336"/>
        <v>20</v>
      </c>
      <c r="V171" s="8">
        <f t="shared" si="336"/>
        <v>25</v>
      </c>
      <c r="W171" s="8">
        <f t="shared" si="336"/>
        <v>40</v>
      </c>
      <c r="X171" s="8" t="str">
        <f t="shared" si="336"/>
        <v>N</v>
      </c>
      <c r="Y171" s="8" t="str">
        <f t="shared" si="336"/>
        <v>N</v>
      </c>
      <c r="Z171" s="11"/>
      <c r="AA171" s="11"/>
      <c r="AB171" s="11"/>
      <c r="AC171" s="11"/>
    </row>
    <row r="172" spans="1:29" x14ac:dyDescent="0.25">
      <c r="A172" s="7" t="str">
        <f t="shared" ref="A172" si="337">+A171</f>
        <v>1D, square, phase</v>
      </c>
      <c r="B172" s="8">
        <f t="shared" si="309"/>
        <v>0.2</v>
      </c>
      <c r="C172" s="8">
        <f t="shared" si="309"/>
        <v>0.5</v>
      </c>
      <c r="D172" s="8">
        <f t="shared" si="309"/>
        <v>0.5000806581706726</v>
      </c>
      <c r="E172" s="8">
        <f t="shared" si="309"/>
        <v>0</v>
      </c>
      <c r="F172" s="8">
        <f t="shared" si="309"/>
        <v>-5.9523809523809521E-3</v>
      </c>
      <c r="G172" s="8">
        <f t="shared" si="309"/>
        <v>20.618556701030926</v>
      </c>
      <c r="H172" s="8">
        <f t="shared" si="309"/>
        <v>0.24796000000000001</v>
      </c>
      <c r="I172" s="8">
        <v>253500</v>
      </c>
      <c r="J172" s="8">
        <f t="shared" si="309"/>
        <v>0.28906275205678333</v>
      </c>
      <c r="K172" s="8">
        <f t="shared" si="309"/>
        <v>0</v>
      </c>
      <c r="L172" s="8">
        <f t="shared" si="309"/>
        <v>-5.6179775280898875E-3</v>
      </c>
      <c r="M172" s="8">
        <f t="shared" si="309"/>
        <v>20.618556701030926</v>
      </c>
      <c r="N172" s="8">
        <f t="shared" si="309"/>
        <v>0.17124309392265194</v>
      </c>
      <c r="O172" s="8">
        <v>46500.000000000007</v>
      </c>
      <c r="P172" s="8">
        <f t="shared" si="309"/>
        <v>1</v>
      </c>
      <c r="Q172" s="8">
        <f t="shared" si="309"/>
        <v>2.9999999999999998E-14</v>
      </c>
      <c r="R172" s="8">
        <f t="shared" ref="R172:Y172" si="338">+R171</f>
        <v>0</v>
      </c>
      <c r="S172" s="8">
        <f t="shared" si="338"/>
        <v>10</v>
      </c>
      <c r="T172" s="8">
        <f t="shared" si="338"/>
        <v>2.67</v>
      </c>
      <c r="U172" s="8">
        <f t="shared" si="338"/>
        <v>20</v>
      </c>
      <c r="V172" s="8">
        <f t="shared" si="338"/>
        <v>25</v>
      </c>
      <c r="W172" s="8">
        <f t="shared" si="338"/>
        <v>40</v>
      </c>
      <c r="X172" s="8" t="str">
        <f t="shared" si="338"/>
        <v>N</v>
      </c>
      <c r="Y172" s="8" t="str">
        <f t="shared" si="338"/>
        <v>N</v>
      </c>
      <c r="Z172" s="11"/>
      <c r="AA172" s="11"/>
      <c r="AB172" s="11"/>
      <c r="AC172" s="11"/>
    </row>
    <row r="173" spans="1:29" x14ac:dyDescent="0.25">
      <c r="A173" s="7" t="str">
        <f t="shared" ref="A173" si="339">+A172</f>
        <v>1D, square, phase</v>
      </c>
      <c r="B173" s="8">
        <f t="shared" si="309"/>
        <v>0.2</v>
      </c>
      <c r="C173" s="8">
        <f t="shared" si="309"/>
        <v>0.5</v>
      </c>
      <c r="D173" s="8">
        <f t="shared" si="309"/>
        <v>0.5000806581706726</v>
      </c>
      <c r="E173" s="8">
        <f t="shared" si="309"/>
        <v>0</v>
      </c>
      <c r="F173" s="8">
        <f t="shared" si="309"/>
        <v>-5.9523809523809521E-3</v>
      </c>
      <c r="G173" s="8">
        <f t="shared" si="309"/>
        <v>20.618556701030926</v>
      </c>
      <c r="H173" s="8">
        <f t="shared" si="309"/>
        <v>0.24796000000000001</v>
      </c>
      <c r="I173" s="8">
        <v>255000</v>
      </c>
      <c r="J173" s="8">
        <f t="shared" si="309"/>
        <v>0.28906275205678333</v>
      </c>
      <c r="K173" s="8">
        <f t="shared" si="309"/>
        <v>0</v>
      </c>
      <c r="L173" s="8">
        <f t="shared" si="309"/>
        <v>-5.6179775280898875E-3</v>
      </c>
      <c r="M173" s="8">
        <f t="shared" si="309"/>
        <v>20.618556701030926</v>
      </c>
      <c r="N173" s="8">
        <f t="shared" si="309"/>
        <v>0.17124309392265194</v>
      </c>
      <c r="O173" s="8">
        <v>45000.000000000007</v>
      </c>
      <c r="P173" s="8">
        <f t="shared" si="309"/>
        <v>1</v>
      </c>
      <c r="Q173" s="8">
        <f t="shared" ref="Q173:Y173" si="340">+Q172</f>
        <v>2.9999999999999998E-14</v>
      </c>
      <c r="R173" s="8">
        <f t="shared" si="340"/>
        <v>0</v>
      </c>
      <c r="S173" s="8">
        <f t="shared" si="340"/>
        <v>10</v>
      </c>
      <c r="T173" s="8">
        <f t="shared" si="340"/>
        <v>2.67</v>
      </c>
      <c r="U173" s="8">
        <f t="shared" si="340"/>
        <v>20</v>
      </c>
      <c r="V173" s="8">
        <f t="shared" si="340"/>
        <v>25</v>
      </c>
      <c r="W173" s="8">
        <f t="shared" si="340"/>
        <v>40</v>
      </c>
      <c r="X173" s="8" t="str">
        <f t="shared" si="340"/>
        <v>N</v>
      </c>
      <c r="Y173" s="8" t="str">
        <f t="shared" si="340"/>
        <v>N</v>
      </c>
      <c r="Z173" s="11"/>
      <c r="AA173" s="11"/>
      <c r="AB173" s="11"/>
      <c r="AC173" s="11"/>
    </row>
    <row r="174" spans="1:29" x14ac:dyDescent="0.25">
      <c r="A174" s="7" t="str">
        <f t="shared" ref="A174" si="341">+A173</f>
        <v>1D, square, phase</v>
      </c>
      <c r="B174" s="8">
        <f t="shared" ref="B174:Q189" si="342">+B173</f>
        <v>0.2</v>
      </c>
      <c r="C174" s="8">
        <f t="shared" si="342"/>
        <v>0.5</v>
      </c>
      <c r="D174" s="8">
        <f t="shared" si="342"/>
        <v>0.5000806581706726</v>
      </c>
      <c r="E174" s="8">
        <f t="shared" si="342"/>
        <v>0</v>
      </c>
      <c r="F174" s="8">
        <f t="shared" si="342"/>
        <v>-5.9523809523809521E-3</v>
      </c>
      <c r="G174" s="8">
        <f t="shared" si="342"/>
        <v>20.618556701030926</v>
      </c>
      <c r="H174" s="8">
        <f t="shared" si="342"/>
        <v>0.24796000000000001</v>
      </c>
      <c r="I174" s="8">
        <v>256500</v>
      </c>
      <c r="J174" s="8">
        <f t="shared" si="342"/>
        <v>0.28906275205678333</v>
      </c>
      <c r="K174" s="8">
        <f t="shared" si="342"/>
        <v>0</v>
      </c>
      <c r="L174" s="8">
        <f t="shared" si="342"/>
        <v>-5.6179775280898875E-3</v>
      </c>
      <c r="M174" s="8">
        <f t="shared" si="342"/>
        <v>20.618556701030926</v>
      </c>
      <c r="N174" s="8">
        <f t="shared" si="342"/>
        <v>0.17124309392265194</v>
      </c>
      <c r="O174" s="8">
        <v>43500.000000000007</v>
      </c>
      <c r="P174" s="8">
        <f t="shared" si="342"/>
        <v>1</v>
      </c>
      <c r="Q174" s="8">
        <f t="shared" si="342"/>
        <v>2.9999999999999998E-14</v>
      </c>
      <c r="R174" s="8">
        <f t="shared" ref="R174:Y174" si="343">+R173</f>
        <v>0</v>
      </c>
      <c r="S174" s="8">
        <f t="shared" si="343"/>
        <v>10</v>
      </c>
      <c r="T174" s="8">
        <f t="shared" si="343"/>
        <v>2.67</v>
      </c>
      <c r="U174" s="8">
        <f t="shared" si="343"/>
        <v>20</v>
      </c>
      <c r="V174" s="8">
        <f t="shared" si="343"/>
        <v>25</v>
      </c>
      <c r="W174" s="8">
        <f t="shared" si="343"/>
        <v>40</v>
      </c>
      <c r="X174" s="8" t="str">
        <f t="shared" si="343"/>
        <v>N</v>
      </c>
      <c r="Y174" s="8" t="str">
        <f t="shared" si="343"/>
        <v>N</v>
      </c>
      <c r="Z174" s="11"/>
      <c r="AA174" s="11"/>
      <c r="AB174" s="11"/>
      <c r="AC174" s="11"/>
    </row>
    <row r="175" spans="1:29" x14ac:dyDescent="0.25">
      <c r="A175" s="7" t="str">
        <f t="shared" ref="A175" si="344">+A174</f>
        <v>1D, square, phase</v>
      </c>
      <c r="B175" s="8">
        <f t="shared" si="342"/>
        <v>0.2</v>
      </c>
      <c r="C175" s="8">
        <f t="shared" si="342"/>
        <v>0.5</v>
      </c>
      <c r="D175" s="8">
        <f t="shared" si="342"/>
        <v>0.5000806581706726</v>
      </c>
      <c r="E175" s="8">
        <f t="shared" si="342"/>
        <v>0</v>
      </c>
      <c r="F175" s="8">
        <f t="shared" si="342"/>
        <v>-5.9523809523809521E-3</v>
      </c>
      <c r="G175" s="8">
        <f t="shared" si="342"/>
        <v>20.618556701030926</v>
      </c>
      <c r="H175" s="8">
        <f t="shared" si="342"/>
        <v>0.24796000000000001</v>
      </c>
      <c r="I175" s="8">
        <v>258000</v>
      </c>
      <c r="J175" s="8">
        <f t="shared" si="342"/>
        <v>0.28906275205678333</v>
      </c>
      <c r="K175" s="8">
        <f t="shared" si="342"/>
        <v>0</v>
      </c>
      <c r="L175" s="8">
        <f t="shared" si="342"/>
        <v>-5.6179775280898875E-3</v>
      </c>
      <c r="M175" s="8">
        <f t="shared" si="342"/>
        <v>20.618556701030926</v>
      </c>
      <c r="N175" s="8">
        <f t="shared" si="342"/>
        <v>0.17124309392265194</v>
      </c>
      <c r="O175" s="8">
        <v>42000.000000000007</v>
      </c>
      <c r="P175" s="8">
        <f t="shared" si="342"/>
        <v>1</v>
      </c>
      <c r="Q175" s="8">
        <f t="shared" si="342"/>
        <v>2.9999999999999998E-14</v>
      </c>
      <c r="R175" s="8">
        <f t="shared" ref="R175:Y175" si="345">+R174</f>
        <v>0</v>
      </c>
      <c r="S175" s="8">
        <f t="shared" si="345"/>
        <v>10</v>
      </c>
      <c r="T175" s="8">
        <f t="shared" si="345"/>
        <v>2.67</v>
      </c>
      <c r="U175" s="8">
        <f t="shared" si="345"/>
        <v>20</v>
      </c>
      <c r="V175" s="8">
        <f t="shared" si="345"/>
        <v>25</v>
      </c>
      <c r="W175" s="8">
        <f t="shared" si="345"/>
        <v>40</v>
      </c>
      <c r="X175" s="8" t="str">
        <f t="shared" si="345"/>
        <v>N</v>
      </c>
      <c r="Y175" s="8" t="str">
        <f t="shared" si="345"/>
        <v>N</v>
      </c>
      <c r="Z175" s="11"/>
      <c r="AA175" s="11"/>
      <c r="AB175" s="11"/>
      <c r="AC175" s="11"/>
    </row>
    <row r="176" spans="1:29" x14ac:dyDescent="0.25">
      <c r="A176" s="7" t="str">
        <f t="shared" ref="A176" si="346">+A175</f>
        <v>1D, square, phase</v>
      </c>
      <c r="B176" s="8">
        <f t="shared" si="342"/>
        <v>0.2</v>
      </c>
      <c r="C176" s="8">
        <f t="shared" si="342"/>
        <v>0.5</v>
      </c>
      <c r="D176" s="8">
        <f t="shared" si="342"/>
        <v>0.5000806581706726</v>
      </c>
      <c r="E176" s="8">
        <f t="shared" si="342"/>
        <v>0</v>
      </c>
      <c r="F176" s="8">
        <f t="shared" si="342"/>
        <v>-5.9523809523809521E-3</v>
      </c>
      <c r="G176" s="8">
        <f t="shared" si="342"/>
        <v>20.618556701030926</v>
      </c>
      <c r="H176" s="8">
        <f t="shared" si="342"/>
        <v>0.24796000000000001</v>
      </c>
      <c r="I176" s="8">
        <v>259500</v>
      </c>
      <c r="J176" s="8">
        <f t="shared" si="342"/>
        <v>0.28906275205678333</v>
      </c>
      <c r="K176" s="8">
        <f t="shared" si="342"/>
        <v>0</v>
      </c>
      <c r="L176" s="8">
        <f t="shared" si="342"/>
        <v>-5.6179775280898875E-3</v>
      </c>
      <c r="M176" s="8">
        <f t="shared" si="342"/>
        <v>20.618556701030926</v>
      </c>
      <c r="N176" s="8">
        <f t="shared" si="342"/>
        <v>0.17124309392265194</v>
      </c>
      <c r="O176" s="8">
        <v>40500</v>
      </c>
      <c r="P176" s="8">
        <f t="shared" si="342"/>
        <v>1</v>
      </c>
      <c r="Q176" s="8">
        <f t="shared" si="342"/>
        <v>2.9999999999999998E-14</v>
      </c>
      <c r="R176" s="8">
        <f t="shared" ref="R176:Y176" si="347">+R175</f>
        <v>0</v>
      </c>
      <c r="S176" s="8">
        <f t="shared" si="347"/>
        <v>10</v>
      </c>
      <c r="T176" s="8">
        <f t="shared" si="347"/>
        <v>2.67</v>
      </c>
      <c r="U176" s="8">
        <f t="shared" si="347"/>
        <v>20</v>
      </c>
      <c r="V176" s="8">
        <f t="shared" si="347"/>
        <v>25</v>
      </c>
      <c r="W176" s="8">
        <f t="shared" si="347"/>
        <v>40</v>
      </c>
      <c r="X176" s="8" t="str">
        <f t="shared" si="347"/>
        <v>N</v>
      </c>
      <c r="Y176" s="8" t="str">
        <f t="shared" si="347"/>
        <v>N</v>
      </c>
      <c r="Z176" s="11"/>
      <c r="AA176" s="11"/>
      <c r="AB176" s="11"/>
      <c r="AC176" s="11"/>
    </row>
    <row r="177" spans="1:29" x14ac:dyDescent="0.25">
      <c r="A177" s="7" t="str">
        <f t="shared" ref="A177" si="348">+A176</f>
        <v>1D, square, phase</v>
      </c>
      <c r="B177" s="8">
        <f t="shared" si="342"/>
        <v>0.2</v>
      </c>
      <c r="C177" s="8">
        <f t="shared" si="342"/>
        <v>0.5</v>
      </c>
      <c r="D177" s="8">
        <f t="shared" si="342"/>
        <v>0.5000806581706726</v>
      </c>
      <c r="E177" s="8">
        <f t="shared" si="342"/>
        <v>0</v>
      </c>
      <c r="F177" s="8">
        <f t="shared" si="342"/>
        <v>-5.9523809523809521E-3</v>
      </c>
      <c r="G177" s="8">
        <f t="shared" si="342"/>
        <v>20.618556701030926</v>
      </c>
      <c r="H177" s="8">
        <f t="shared" si="342"/>
        <v>0.24796000000000001</v>
      </c>
      <c r="I177" s="8">
        <v>261000</v>
      </c>
      <c r="J177" s="8">
        <f t="shared" si="342"/>
        <v>0.28906275205678333</v>
      </c>
      <c r="K177" s="8">
        <f t="shared" si="342"/>
        <v>0</v>
      </c>
      <c r="L177" s="8">
        <f t="shared" si="342"/>
        <v>-5.6179775280898875E-3</v>
      </c>
      <c r="M177" s="8">
        <f t="shared" si="342"/>
        <v>20.618556701030926</v>
      </c>
      <c r="N177" s="8">
        <f t="shared" si="342"/>
        <v>0.17124309392265194</v>
      </c>
      <c r="O177" s="8">
        <v>39000</v>
      </c>
      <c r="P177" s="8">
        <f t="shared" si="342"/>
        <v>1</v>
      </c>
      <c r="Q177" s="8">
        <f t="shared" si="342"/>
        <v>2.9999999999999998E-14</v>
      </c>
      <c r="R177" s="8">
        <f t="shared" ref="R177:Y177" si="349">+R176</f>
        <v>0</v>
      </c>
      <c r="S177" s="8">
        <f t="shared" si="349"/>
        <v>10</v>
      </c>
      <c r="T177" s="8">
        <f t="shared" si="349"/>
        <v>2.67</v>
      </c>
      <c r="U177" s="8">
        <f t="shared" si="349"/>
        <v>20</v>
      </c>
      <c r="V177" s="8">
        <f t="shared" si="349"/>
        <v>25</v>
      </c>
      <c r="W177" s="8">
        <f t="shared" si="349"/>
        <v>40</v>
      </c>
      <c r="X177" s="8" t="str">
        <f t="shared" si="349"/>
        <v>N</v>
      </c>
      <c r="Y177" s="8" t="str">
        <f t="shared" si="349"/>
        <v>N</v>
      </c>
      <c r="Z177" s="11"/>
      <c r="AA177" s="11"/>
      <c r="AB177" s="11"/>
      <c r="AC177" s="11"/>
    </row>
    <row r="178" spans="1:29" x14ac:dyDescent="0.25">
      <c r="A178" s="7" t="str">
        <f t="shared" ref="A178" si="350">+A177</f>
        <v>1D, square, phase</v>
      </c>
      <c r="B178" s="8">
        <f t="shared" si="342"/>
        <v>0.2</v>
      </c>
      <c r="C178" s="8">
        <f t="shared" si="342"/>
        <v>0.5</v>
      </c>
      <c r="D178" s="8">
        <f t="shared" si="342"/>
        <v>0.5000806581706726</v>
      </c>
      <c r="E178" s="8">
        <f t="shared" si="342"/>
        <v>0</v>
      </c>
      <c r="F178" s="8">
        <f t="shared" si="342"/>
        <v>-5.9523809523809521E-3</v>
      </c>
      <c r="G178" s="8">
        <f t="shared" si="342"/>
        <v>20.618556701030926</v>
      </c>
      <c r="H178" s="8">
        <f t="shared" si="342"/>
        <v>0.24796000000000001</v>
      </c>
      <c r="I178" s="8">
        <v>262500</v>
      </c>
      <c r="J178" s="8">
        <f t="shared" si="342"/>
        <v>0.28906275205678333</v>
      </c>
      <c r="K178" s="8">
        <f t="shared" si="342"/>
        <v>0</v>
      </c>
      <c r="L178" s="8">
        <f t="shared" si="342"/>
        <v>-5.6179775280898875E-3</v>
      </c>
      <c r="M178" s="8">
        <f t="shared" si="342"/>
        <v>20.618556701030926</v>
      </c>
      <c r="N178" s="8">
        <f t="shared" si="342"/>
        <v>0.17124309392265194</v>
      </c>
      <c r="O178" s="8">
        <v>37500</v>
      </c>
      <c r="P178" s="8">
        <f t="shared" si="342"/>
        <v>1</v>
      </c>
      <c r="Q178" s="8">
        <f t="shared" si="342"/>
        <v>2.9999999999999998E-14</v>
      </c>
      <c r="R178" s="8">
        <f t="shared" ref="R178:Y178" si="351">+R177</f>
        <v>0</v>
      </c>
      <c r="S178" s="8">
        <f t="shared" si="351"/>
        <v>10</v>
      </c>
      <c r="T178" s="8">
        <f t="shared" si="351"/>
        <v>2.67</v>
      </c>
      <c r="U178" s="8">
        <f t="shared" si="351"/>
        <v>20</v>
      </c>
      <c r="V178" s="8">
        <f t="shared" si="351"/>
        <v>25</v>
      </c>
      <c r="W178" s="8">
        <f t="shared" si="351"/>
        <v>40</v>
      </c>
      <c r="X178" s="8" t="str">
        <f t="shared" si="351"/>
        <v>N</v>
      </c>
      <c r="Y178" s="8" t="str">
        <f t="shared" si="351"/>
        <v>N</v>
      </c>
      <c r="Z178" s="11"/>
      <c r="AA178" s="11"/>
      <c r="AB178" s="11"/>
      <c r="AC178" s="11"/>
    </row>
    <row r="179" spans="1:29" x14ac:dyDescent="0.25">
      <c r="A179" s="7" t="str">
        <f t="shared" ref="A179" si="352">+A178</f>
        <v>1D, square, phase</v>
      </c>
      <c r="B179" s="8">
        <f t="shared" si="342"/>
        <v>0.2</v>
      </c>
      <c r="C179" s="8">
        <f t="shared" si="342"/>
        <v>0.5</v>
      </c>
      <c r="D179" s="8">
        <f t="shared" si="342"/>
        <v>0.5000806581706726</v>
      </c>
      <c r="E179" s="8">
        <f t="shared" si="342"/>
        <v>0</v>
      </c>
      <c r="F179" s="8">
        <f t="shared" si="342"/>
        <v>-5.9523809523809521E-3</v>
      </c>
      <c r="G179" s="8">
        <f t="shared" si="342"/>
        <v>20.618556701030926</v>
      </c>
      <c r="H179" s="8">
        <f t="shared" si="342"/>
        <v>0.24796000000000001</v>
      </c>
      <c r="I179" s="8">
        <v>264000</v>
      </c>
      <c r="J179" s="8">
        <f t="shared" si="342"/>
        <v>0.28906275205678333</v>
      </c>
      <c r="K179" s="8">
        <f t="shared" si="342"/>
        <v>0</v>
      </c>
      <c r="L179" s="8">
        <f t="shared" si="342"/>
        <v>-5.6179775280898875E-3</v>
      </c>
      <c r="M179" s="8">
        <f t="shared" si="342"/>
        <v>20.618556701030926</v>
      </c>
      <c r="N179" s="8">
        <f t="shared" si="342"/>
        <v>0.17124309392265194</v>
      </c>
      <c r="O179" s="8">
        <v>36000</v>
      </c>
      <c r="P179" s="8">
        <f t="shared" si="342"/>
        <v>1</v>
      </c>
      <c r="Q179" s="8">
        <f t="shared" si="342"/>
        <v>2.9999999999999998E-14</v>
      </c>
      <c r="R179" s="8">
        <f t="shared" ref="R179:Y179" si="353">+R178</f>
        <v>0</v>
      </c>
      <c r="S179" s="8">
        <f t="shared" si="353"/>
        <v>10</v>
      </c>
      <c r="T179" s="8">
        <f t="shared" si="353"/>
        <v>2.67</v>
      </c>
      <c r="U179" s="8">
        <f t="shared" si="353"/>
        <v>20</v>
      </c>
      <c r="V179" s="8">
        <f t="shared" si="353"/>
        <v>25</v>
      </c>
      <c r="W179" s="8">
        <f t="shared" si="353"/>
        <v>40</v>
      </c>
      <c r="X179" s="8" t="str">
        <f t="shared" si="353"/>
        <v>N</v>
      </c>
      <c r="Y179" s="8" t="str">
        <f t="shared" si="353"/>
        <v>N</v>
      </c>
      <c r="Z179" s="11"/>
      <c r="AA179" s="11"/>
      <c r="AB179" s="11"/>
      <c r="AC179" s="11"/>
    </row>
    <row r="180" spans="1:29" x14ac:dyDescent="0.25">
      <c r="A180" s="7" t="str">
        <f t="shared" ref="A180" si="354">+A179</f>
        <v>1D, square, phase</v>
      </c>
      <c r="B180" s="8">
        <f t="shared" si="342"/>
        <v>0.2</v>
      </c>
      <c r="C180" s="8">
        <f t="shared" si="342"/>
        <v>0.5</v>
      </c>
      <c r="D180" s="8">
        <f t="shared" si="342"/>
        <v>0.5000806581706726</v>
      </c>
      <c r="E180" s="8">
        <f t="shared" si="342"/>
        <v>0</v>
      </c>
      <c r="F180" s="8">
        <f t="shared" si="342"/>
        <v>-5.9523809523809521E-3</v>
      </c>
      <c r="G180" s="8">
        <f t="shared" si="342"/>
        <v>20.618556701030926</v>
      </c>
      <c r="H180" s="8">
        <f t="shared" si="342"/>
        <v>0.24796000000000001</v>
      </c>
      <c r="I180" s="8">
        <v>265500</v>
      </c>
      <c r="J180" s="8">
        <f t="shared" si="342"/>
        <v>0.28906275205678333</v>
      </c>
      <c r="K180" s="8">
        <f t="shared" si="342"/>
        <v>0</v>
      </c>
      <c r="L180" s="8">
        <f t="shared" si="342"/>
        <v>-5.6179775280898875E-3</v>
      </c>
      <c r="M180" s="8">
        <f t="shared" si="342"/>
        <v>20.618556701030926</v>
      </c>
      <c r="N180" s="8">
        <f t="shared" si="342"/>
        <v>0.17124309392265194</v>
      </c>
      <c r="O180" s="8">
        <v>34500</v>
      </c>
      <c r="P180" s="8">
        <f t="shared" si="342"/>
        <v>1</v>
      </c>
      <c r="Q180" s="8">
        <f t="shared" si="342"/>
        <v>2.9999999999999998E-14</v>
      </c>
      <c r="R180" s="8">
        <f t="shared" ref="R180:Y180" si="355">+R179</f>
        <v>0</v>
      </c>
      <c r="S180" s="8">
        <f t="shared" si="355"/>
        <v>10</v>
      </c>
      <c r="T180" s="8">
        <f t="shared" si="355"/>
        <v>2.67</v>
      </c>
      <c r="U180" s="8">
        <f t="shared" si="355"/>
        <v>20</v>
      </c>
      <c r="V180" s="8">
        <f t="shared" si="355"/>
        <v>25</v>
      </c>
      <c r="W180" s="8">
        <f t="shared" si="355"/>
        <v>40</v>
      </c>
      <c r="X180" s="8" t="str">
        <f t="shared" si="355"/>
        <v>N</v>
      </c>
      <c r="Y180" s="8" t="str">
        <f t="shared" si="355"/>
        <v>N</v>
      </c>
      <c r="Z180" s="11"/>
      <c r="AA180" s="11"/>
      <c r="AB180" s="11"/>
      <c r="AC180" s="11"/>
    </row>
    <row r="181" spans="1:29" x14ac:dyDescent="0.25">
      <c r="A181" s="7" t="str">
        <f t="shared" ref="A181" si="356">+A180</f>
        <v>1D, square, phase</v>
      </c>
      <c r="B181" s="8">
        <f t="shared" si="342"/>
        <v>0.2</v>
      </c>
      <c r="C181" s="8">
        <f t="shared" si="342"/>
        <v>0.5</v>
      </c>
      <c r="D181" s="8">
        <f t="shared" si="342"/>
        <v>0.5000806581706726</v>
      </c>
      <c r="E181" s="8">
        <f t="shared" si="342"/>
        <v>0</v>
      </c>
      <c r="F181" s="8">
        <f t="shared" si="342"/>
        <v>-5.9523809523809521E-3</v>
      </c>
      <c r="G181" s="8">
        <f t="shared" si="342"/>
        <v>20.618556701030926</v>
      </c>
      <c r="H181" s="8">
        <f t="shared" si="342"/>
        <v>0.24796000000000001</v>
      </c>
      <c r="I181" s="8">
        <v>267000</v>
      </c>
      <c r="J181" s="8">
        <f t="shared" si="342"/>
        <v>0.28906275205678333</v>
      </c>
      <c r="K181" s="8">
        <f t="shared" si="342"/>
        <v>0</v>
      </c>
      <c r="L181" s="8">
        <f t="shared" si="342"/>
        <v>-5.6179775280898875E-3</v>
      </c>
      <c r="M181" s="8">
        <f t="shared" si="342"/>
        <v>20.618556701030926</v>
      </c>
      <c r="N181" s="8">
        <f t="shared" si="342"/>
        <v>0.17124309392265194</v>
      </c>
      <c r="O181" s="8">
        <v>32999.999999999993</v>
      </c>
      <c r="P181" s="8">
        <f t="shared" si="342"/>
        <v>1</v>
      </c>
      <c r="Q181" s="8">
        <f t="shared" si="342"/>
        <v>2.9999999999999998E-14</v>
      </c>
      <c r="R181" s="8">
        <f t="shared" ref="R181:Y181" si="357">+R180</f>
        <v>0</v>
      </c>
      <c r="S181" s="8">
        <f t="shared" si="357"/>
        <v>10</v>
      </c>
      <c r="T181" s="8">
        <f t="shared" si="357"/>
        <v>2.67</v>
      </c>
      <c r="U181" s="8">
        <f t="shared" si="357"/>
        <v>20</v>
      </c>
      <c r="V181" s="8">
        <f t="shared" si="357"/>
        <v>25</v>
      </c>
      <c r="W181" s="8">
        <f t="shared" si="357"/>
        <v>40</v>
      </c>
      <c r="X181" s="8" t="str">
        <f t="shared" si="357"/>
        <v>N</v>
      </c>
      <c r="Y181" s="8" t="str">
        <f t="shared" si="357"/>
        <v>N</v>
      </c>
      <c r="Z181" s="11"/>
      <c r="AA181" s="11"/>
      <c r="AB181" s="11"/>
      <c r="AC181" s="11"/>
    </row>
    <row r="182" spans="1:29" x14ac:dyDescent="0.25">
      <c r="A182" s="7" t="str">
        <f t="shared" ref="A182" si="358">+A181</f>
        <v>1D, square, phase</v>
      </c>
      <c r="B182" s="8">
        <f t="shared" si="342"/>
        <v>0.2</v>
      </c>
      <c r="C182" s="8">
        <f t="shared" si="342"/>
        <v>0.5</v>
      </c>
      <c r="D182" s="8">
        <f t="shared" si="342"/>
        <v>0.5000806581706726</v>
      </c>
      <c r="E182" s="8">
        <f t="shared" si="342"/>
        <v>0</v>
      </c>
      <c r="F182" s="8">
        <f t="shared" si="342"/>
        <v>-5.9523809523809521E-3</v>
      </c>
      <c r="G182" s="8">
        <f t="shared" si="342"/>
        <v>20.618556701030926</v>
      </c>
      <c r="H182" s="8">
        <f t="shared" si="342"/>
        <v>0.24796000000000001</v>
      </c>
      <c r="I182" s="8">
        <v>268500</v>
      </c>
      <c r="J182" s="8">
        <f t="shared" si="342"/>
        <v>0.28906275205678333</v>
      </c>
      <c r="K182" s="8">
        <f t="shared" si="342"/>
        <v>0</v>
      </c>
      <c r="L182" s="8">
        <f t="shared" si="342"/>
        <v>-5.6179775280898875E-3</v>
      </c>
      <c r="M182" s="8">
        <f t="shared" si="342"/>
        <v>20.618556701030926</v>
      </c>
      <c r="N182" s="8">
        <f t="shared" si="342"/>
        <v>0.17124309392265194</v>
      </c>
      <c r="O182" s="8">
        <v>31499.999999999996</v>
      </c>
      <c r="P182" s="8">
        <f t="shared" si="342"/>
        <v>1</v>
      </c>
      <c r="Q182" s="8">
        <f t="shared" si="342"/>
        <v>2.9999999999999998E-14</v>
      </c>
      <c r="R182" s="8">
        <f t="shared" ref="R182:Y182" si="359">+R181</f>
        <v>0</v>
      </c>
      <c r="S182" s="8">
        <f t="shared" si="359"/>
        <v>10</v>
      </c>
      <c r="T182" s="8">
        <f t="shared" si="359"/>
        <v>2.67</v>
      </c>
      <c r="U182" s="8">
        <f t="shared" si="359"/>
        <v>20</v>
      </c>
      <c r="V182" s="8">
        <f t="shared" si="359"/>
        <v>25</v>
      </c>
      <c r="W182" s="8">
        <f t="shared" si="359"/>
        <v>40</v>
      </c>
      <c r="X182" s="8" t="str">
        <f t="shared" si="359"/>
        <v>N</v>
      </c>
      <c r="Y182" s="8" t="str">
        <f t="shared" si="359"/>
        <v>N</v>
      </c>
      <c r="Z182" s="11"/>
      <c r="AA182" s="11"/>
      <c r="AB182" s="11"/>
      <c r="AC182" s="11"/>
    </row>
    <row r="183" spans="1:29" x14ac:dyDescent="0.25">
      <c r="A183" s="7" t="str">
        <f t="shared" ref="A183" si="360">+A182</f>
        <v>1D, square, phase</v>
      </c>
      <c r="B183" s="8">
        <f t="shared" si="342"/>
        <v>0.2</v>
      </c>
      <c r="C183" s="8">
        <f t="shared" si="342"/>
        <v>0.5</v>
      </c>
      <c r="D183" s="8">
        <f t="shared" si="342"/>
        <v>0.5000806581706726</v>
      </c>
      <c r="E183" s="8">
        <f t="shared" si="342"/>
        <v>0</v>
      </c>
      <c r="F183" s="8">
        <f t="shared" si="342"/>
        <v>-5.9523809523809521E-3</v>
      </c>
      <c r="G183" s="8">
        <f t="shared" si="342"/>
        <v>20.618556701030926</v>
      </c>
      <c r="H183" s="8">
        <f t="shared" si="342"/>
        <v>0.24796000000000001</v>
      </c>
      <c r="I183" s="8">
        <v>270000</v>
      </c>
      <c r="J183" s="8">
        <f t="shared" si="342"/>
        <v>0.28906275205678333</v>
      </c>
      <c r="K183" s="8">
        <f t="shared" si="342"/>
        <v>0</v>
      </c>
      <c r="L183" s="8">
        <f t="shared" si="342"/>
        <v>-5.6179775280898875E-3</v>
      </c>
      <c r="M183" s="8">
        <f t="shared" si="342"/>
        <v>20.618556701030926</v>
      </c>
      <c r="N183" s="8">
        <f t="shared" si="342"/>
        <v>0.17124309392265194</v>
      </c>
      <c r="O183" s="8">
        <v>29999.999999999993</v>
      </c>
      <c r="P183" s="8">
        <f t="shared" si="342"/>
        <v>1</v>
      </c>
      <c r="Q183" s="8">
        <f t="shared" si="342"/>
        <v>2.9999999999999998E-14</v>
      </c>
      <c r="R183" s="8">
        <f t="shared" ref="R183:Y183" si="361">+R182</f>
        <v>0</v>
      </c>
      <c r="S183" s="8">
        <f t="shared" si="361"/>
        <v>10</v>
      </c>
      <c r="T183" s="8">
        <f t="shared" si="361"/>
        <v>2.67</v>
      </c>
      <c r="U183" s="8">
        <f t="shared" si="361"/>
        <v>20</v>
      </c>
      <c r="V183" s="8">
        <f t="shared" si="361"/>
        <v>25</v>
      </c>
      <c r="W183" s="8">
        <f t="shared" si="361"/>
        <v>40</v>
      </c>
      <c r="X183" s="8" t="str">
        <f t="shared" si="361"/>
        <v>N</v>
      </c>
      <c r="Y183" s="8" t="str">
        <f t="shared" si="361"/>
        <v>N</v>
      </c>
      <c r="Z183" s="11"/>
      <c r="AA183" s="11"/>
      <c r="AB183" s="11"/>
      <c r="AC183" s="11"/>
    </row>
    <row r="184" spans="1:29" x14ac:dyDescent="0.25">
      <c r="A184" s="7" t="str">
        <f t="shared" ref="A184" si="362">+A183</f>
        <v>1D, square, phase</v>
      </c>
      <c r="B184" s="8">
        <f t="shared" si="342"/>
        <v>0.2</v>
      </c>
      <c r="C184" s="8">
        <f t="shared" si="342"/>
        <v>0.5</v>
      </c>
      <c r="D184" s="8">
        <f t="shared" si="342"/>
        <v>0.5000806581706726</v>
      </c>
      <c r="E184" s="8">
        <f t="shared" si="342"/>
        <v>0</v>
      </c>
      <c r="F184" s="8">
        <f t="shared" si="342"/>
        <v>-5.9523809523809521E-3</v>
      </c>
      <c r="G184" s="8">
        <f t="shared" si="342"/>
        <v>20.618556701030926</v>
      </c>
      <c r="H184" s="8">
        <f t="shared" si="342"/>
        <v>0.24796000000000001</v>
      </c>
      <c r="I184" s="8">
        <v>271500</v>
      </c>
      <c r="J184" s="8">
        <f t="shared" si="342"/>
        <v>0.28906275205678333</v>
      </c>
      <c r="K184" s="8">
        <f t="shared" si="342"/>
        <v>0</v>
      </c>
      <c r="L184" s="8">
        <f t="shared" si="342"/>
        <v>-5.6179775280898875E-3</v>
      </c>
      <c r="M184" s="8">
        <f t="shared" si="342"/>
        <v>20.618556701030926</v>
      </c>
      <c r="N184" s="8">
        <f t="shared" si="342"/>
        <v>0.17124309392265194</v>
      </c>
      <c r="O184" s="8">
        <v>28499.999999999993</v>
      </c>
      <c r="P184" s="8">
        <f t="shared" si="342"/>
        <v>1</v>
      </c>
      <c r="Q184" s="8">
        <f t="shared" si="342"/>
        <v>2.9999999999999998E-14</v>
      </c>
      <c r="R184" s="8">
        <f t="shared" ref="R184:Y184" si="363">+R183</f>
        <v>0</v>
      </c>
      <c r="S184" s="8">
        <f t="shared" si="363"/>
        <v>10</v>
      </c>
      <c r="T184" s="8">
        <f t="shared" si="363"/>
        <v>2.67</v>
      </c>
      <c r="U184" s="8">
        <f t="shared" si="363"/>
        <v>20</v>
      </c>
      <c r="V184" s="8">
        <f t="shared" si="363"/>
        <v>25</v>
      </c>
      <c r="W184" s="8">
        <f t="shared" si="363"/>
        <v>40</v>
      </c>
      <c r="X184" s="8" t="str">
        <f t="shared" si="363"/>
        <v>N</v>
      </c>
      <c r="Y184" s="8" t="str">
        <f t="shared" si="363"/>
        <v>N</v>
      </c>
      <c r="Z184" s="11"/>
      <c r="AA184" s="11"/>
      <c r="AB184" s="11"/>
      <c r="AC184" s="11"/>
    </row>
    <row r="185" spans="1:29" x14ac:dyDescent="0.25">
      <c r="A185" s="7" t="str">
        <f t="shared" ref="A185" si="364">+A184</f>
        <v>1D, square, phase</v>
      </c>
      <c r="B185" s="8">
        <f t="shared" si="342"/>
        <v>0.2</v>
      </c>
      <c r="C185" s="8">
        <f t="shared" si="342"/>
        <v>0.5</v>
      </c>
      <c r="D185" s="8">
        <f t="shared" si="342"/>
        <v>0.5000806581706726</v>
      </c>
      <c r="E185" s="8">
        <f t="shared" si="342"/>
        <v>0</v>
      </c>
      <c r="F185" s="8">
        <f t="shared" si="342"/>
        <v>-5.9523809523809521E-3</v>
      </c>
      <c r="G185" s="8">
        <f t="shared" si="342"/>
        <v>20.618556701030926</v>
      </c>
      <c r="H185" s="8">
        <f t="shared" si="342"/>
        <v>0.24796000000000001</v>
      </c>
      <c r="I185" s="8">
        <v>273000</v>
      </c>
      <c r="J185" s="8">
        <f t="shared" si="342"/>
        <v>0.28906275205678333</v>
      </c>
      <c r="K185" s="8">
        <f t="shared" si="342"/>
        <v>0</v>
      </c>
      <c r="L185" s="8">
        <f t="shared" si="342"/>
        <v>-5.6179775280898875E-3</v>
      </c>
      <c r="M185" s="8">
        <f t="shared" si="342"/>
        <v>20.618556701030926</v>
      </c>
      <c r="N185" s="8">
        <f t="shared" si="342"/>
        <v>0.17124309392265194</v>
      </c>
      <c r="O185" s="8">
        <v>26999.999999999989</v>
      </c>
      <c r="P185" s="8">
        <f t="shared" si="342"/>
        <v>1</v>
      </c>
      <c r="Q185" s="8">
        <f t="shared" si="342"/>
        <v>2.9999999999999998E-14</v>
      </c>
      <c r="R185" s="8">
        <f t="shared" ref="R185:Y185" si="365">+R184</f>
        <v>0</v>
      </c>
      <c r="S185" s="8">
        <f t="shared" si="365"/>
        <v>10</v>
      </c>
      <c r="T185" s="8">
        <f t="shared" si="365"/>
        <v>2.67</v>
      </c>
      <c r="U185" s="8">
        <f t="shared" si="365"/>
        <v>20</v>
      </c>
      <c r="V185" s="8">
        <f t="shared" si="365"/>
        <v>25</v>
      </c>
      <c r="W185" s="8">
        <f t="shared" si="365"/>
        <v>40</v>
      </c>
      <c r="X185" s="8" t="str">
        <f t="shared" si="365"/>
        <v>N</v>
      </c>
      <c r="Y185" s="8" t="str">
        <f t="shared" si="365"/>
        <v>N</v>
      </c>
      <c r="Z185" s="11"/>
      <c r="AA185" s="11"/>
      <c r="AB185" s="11"/>
      <c r="AC185" s="11"/>
    </row>
    <row r="186" spans="1:29" x14ac:dyDescent="0.25">
      <c r="A186" s="7" t="str">
        <f t="shared" ref="A186" si="366">+A185</f>
        <v>1D, square, phase</v>
      </c>
      <c r="B186" s="8">
        <f t="shared" si="342"/>
        <v>0.2</v>
      </c>
      <c r="C186" s="8">
        <f t="shared" si="342"/>
        <v>0.5</v>
      </c>
      <c r="D186" s="8">
        <f t="shared" si="342"/>
        <v>0.5000806581706726</v>
      </c>
      <c r="E186" s="8">
        <f t="shared" si="342"/>
        <v>0</v>
      </c>
      <c r="F186" s="8">
        <f t="shared" si="342"/>
        <v>-5.9523809523809521E-3</v>
      </c>
      <c r="G186" s="8">
        <f t="shared" si="342"/>
        <v>20.618556701030926</v>
      </c>
      <c r="H186" s="8">
        <f t="shared" si="342"/>
        <v>0.24796000000000001</v>
      </c>
      <c r="I186" s="8">
        <v>274500</v>
      </c>
      <c r="J186" s="8">
        <f t="shared" si="342"/>
        <v>0.28906275205678333</v>
      </c>
      <c r="K186" s="8">
        <f t="shared" si="342"/>
        <v>0</v>
      </c>
      <c r="L186" s="8">
        <f t="shared" si="342"/>
        <v>-5.6179775280898875E-3</v>
      </c>
      <c r="M186" s="8">
        <f t="shared" si="342"/>
        <v>20.618556701030926</v>
      </c>
      <c r="N186" s="8">
        <f t="shared" si="342"/>
        <v>0.17124309392265194</v>
      </c>
      <c r="O186" s="8">
        <v>25499.999999999989</v>
      </c>
      <c r="P186" s="8">
        <f t="shared" si="342"/>
        <v>1</v>
      </c>
      <c r="Q186" s="8">
        <f t="shared" si="342"/>
        <v>2.9999999999999998E-14</v>
      </c>
      <c r="R186" s="8">
        <f t="shared" ref="R186:Y186" si="367">+R185</f>
        <v>0</v>
      </c>
      <c r="S186" s="8">
        <f t="shared" si="367"/>
        <v>10</v>
      </c>
      <c r="T186" s="8">
        <f t="shared" si="367"/>
        <v>2.67</v>
      </c>
      <c r="U186" s="8">
        <f t="shared" si="367"/>
        <v>20</v>
      </c>
      <c r="V186" s="8">
        <f t="shared" si="367"/>
        <v>25</v>
      </c>
      <c r="W186" s="8">
        <f t="shared" si="367"/>
        <v>40</v>
      </c>
      <c r="X186" s="8" t="str">
        <f t="shared" si="367"/>
        <v>N</v>
      </c>
      <c r="Y186" s="8" t="str">
        <f t="shared" si="367"/>
        <v>N</v>
      </c>
      <c r="Z186" s="11"/>
      <c r="AA186" s="11"/>
      <c r="AB186" s="11"/>
      <c r="AC186" s="11"/>
    </row>
    <row r="187" spans="1:29" x14ac:dyDescent="0.25">
      <c r="A187" s="7" t="str">
        <f t="shared" ref="A187" si="368">+A186</f>
        <v>1D, square, phase</v>
      </c>
      <c r="B187" s="8">
        <f t="shared" si="342"/>
        <v>0.2</v>
      </c>
      <c r="C187" s="8">
        <f t="shared" si="342"/>
        <v>0.5</v>
      </c>
      <c r="D187" s="8">
        <f t="shared" si="342"/>
        <v>0.5000806581706726</v>
      </c>
      <c r="E187" s="8">
        <f t="shared" si="342"/>
        <v>0</v>
      </c>
      <c r="F187" s="8">
        <f t="shared" si="342"/>
        <v>-5.9523809523809521E-3</v>
      </c>
      <c r="G187" s="8">
        <f t="shared" si="342"/>
        <v>20.618556701030926</v>
      </c>
      <c r="H187" s="8">
        <f t="shared" si="342"/>
        <v>0.24796000000000001</v>
      </c>
      <c r="I187" s="8">
        <v>276000</v>
      </c>
      <c r="J187" s="8">
        <f t="shared" si="342"/>
        <v>0.28906275205678333</v>
      </c>
      <c r="K187" s="8">
        <f t="shared" si="342"/>
        <v>0</v>
      </c>
      <c r="L187" s="8">
        <f t="shared" si="342"/>
        <v>-5.6179775280898875E-3</v>
      </c>
      <c r="M187" s="8">
        <f t="shared" si="342"/>
        <v>20.618556701030926</v>
      </c>
      <c r="N187" s="8">
        <f t="shared" si="342"/>
        <v>0.17124309392265194</v>
      </c>
      <c r="O187" s="8">
        <v>23999.999999999989</v>
      </c>
      <c r="P187" s="8">
        <f t="shared" si="342"/>
        <v>1</v>
      </c>
      <c r="Q187" s="8">
        <f t="shared" si="342"/>
        <v>2.9999999999999998E-14</v>
      </c>
      <c r="R187" s="8">
        <f t="shared" ref="R187:Y187" si="369">+R186</f>
        <v>0</v>
      </c>
      <c r="S187" s="8">
        <f t="shared" si="369"/>
        <v>10</v>
      </c>
      <c r="T187" s="8">
        <f t="shared" si="369"/>
        <v>2.67</v>
      </c>
      <c r="U187" s="8">
        <f t="shared" si="369"/>
        <v>20</v>
      </c>
      <c r="V187" s="8">
        <f t="shared" si="369"/>
        <v>25</v>
      </c>
      <c r="W187" s="8">
        <f t="shared" si="369"/>
        <v>40</v>
      </c>
      <c r="X187" s="8" t="str">
        <f t="shared" si="369"/>
        <v>N</v>
      </c>
      <c r="Y187" s="8" t="str">
        <f t="shared" si="369"/>
        <v>N</v>
      </c>
      <c r="Z187" s="11"/>
      <c r="AA187" s="11"/>
      <c r="AB187" s="11"/>
      <c r="AC187" s="11"/>
    </row>
    <row r="188" spans="1:29" x14ac:dyDescent="0.25">
      <c r="A188" s="7" t="str">
        <f t="shared" ref="A188" si="370">+A187</f>
        <v>1D, square, phase</v>
      </c>
      <c r="B188" s="8">
        <f t="shared" si="342"/>
        <v>0.2</v>
      </c>
      <c r="C188" s="8">
        <f t="shared" si="342"/>
        <v>0.5</v>
      </c>
      <c r="D188" s="8">
        <f t="shared" si="342"/>
        <v>0.5000806581706726</v>
      </c>
      <c r="E188" s="8">
        <f t="shared" si="342"/>
        <v>0</v>
      </c>
      <c r="F188" s="8">
        <f t="shared" si="342"/>
        <v>-5.9523809523809521E-3</v>
      </c>
      <c r="G188" s="8">
        <f t="shared" si="342"/>
        <v>20.618556701030926</v>
      </c>
      <c r="H188" s="8">
        <f t="shared" si="342"/>
        <v>0.24796000000000001</v>
      </c>
      <c r="I188" s="8">
        <v>277500</v>
      </c>
      <c r="J188" s="8">
        <f t="shared" si="342"/>
        <v>0.28906275205678333</v>
      </c>
      <c r="K188" s="8">
        <f t="shared" si="342"/>
        <v>0</v>
      </c>
      <c r="L188" s="8">
        <f t="shared" si="342"/>
        <v>-5.6179775280898875E-3</v>
      </c>
      <c r="M188" s="8">
        <f t="shared" si="342"/>
        <v>20.618556701030926</v>
      </c>
      <c r="N188" s="8">
        <f t="shared" si="342"/>
        <v>0.17124309392265194</v>
      </c>
      <c r="O188" s="8">
        <v>22499.999999999985</v>
      </c>
      <c r="P188" s="8">
        <f t="shared" si="342"/>
        <v>1</v>
      </c>
      <c r="Q188" s="8">
        <f t="shared" si="342"/>
        <v>2.9999999999999998E-14</v>
      </c>
      <c r="R188" s="8">
        <f t="shared" ref="R188:Y188" si="371">+R187</f>
        <v>0</v>
      </c>
      <c r="S188" s="8">
        <f t="shared" si="371"/>
        <v>10</v>
      </c>
      <c r="T188" s="8">
        <f t="shared" si="371"/>
        <v>2.67</v>
      </c>
      <c r="U188" s="8">
        <f t="shared" si="371"/>
        <v>20</v>
      </c>
      <c r="V188" s="8">
        <f t="shared" si="371"/>
        <v>25</v>
      </c>
      <c r="W188" s="8">
        <f t="shared" si="371"/>
        <v>40</v>
      </c>
      <c r="X188" s="8" t="str">
        <f t="shared" si="371"/>
        <v>N</v>
      </c>
      <c r="Y188" s="8" t="str">
        <f t="shared" si="371"/>
        <v>N</v>
      </c>
      <c r="Z188" s="11"/>
      <c r="AA188" s="11"/>
      <c r="AB188" s="11"/>
      <c r="AC188" s="11"/>
    </row>
    <row r="189" spans="1:29" x14ac:dyDescent="0.25">
      <c r="A189" s="7" t="str">
        <f t="shared" ref="A189" si="372">+A188</f>
        <v>1D, square, phase</v>
      </c>
      <c r="B189" s="8">
        <f t="shared" si="342"/>
        <v>0.2</v>
      </c>
      <c r="C189" s="8">
        <f t="shared" si="342"/>
        <v>0.5</v>
      </c>
      <c r="D189" s="8">
        <f t="shared" si="342"/>
        <v>0.5000806581706726</v>
      </c>
      <c r="E189" s="8">
        <f t="shared" si="342"/>
        <v>0</v>
      </c>
      <c r="F189" s="8">
        <f t="shared" si="342"/>
        <v>-5.9523809523809521E-3</v>
      </c>
      <c r="G189" s="8">
        <f t="shared" si="342"/>
        <v>20.618556701030926</v>
      </c>
      <c r="H189" s="8">
        <f t="shared" si="342"/>
        <v>0.24796000000000001</v>
      </c>
      <c r="I189" s="8">
        <v>279000</v>
      </c>
      <c r="J189" s="8">
        <f t="shared" si="342"/>
        <v>0.28906275205678333</v>
      </c>
      <c r="K189" s="8">
        <f t="shared" si="342"/>
        <v>0</v>
      </c>
      <c r="L189" s="8">
        <f t="shared" si="342"/>
        <v>-5.6179775280898875E-3</v>
      </c>
      <c r="M189" s="8">
        <f t="shared" si="342"/>
        <v>20.618556701030926</v>
      </c>
      <c r="N189" s="8">
        <f t="shared" si="342"/>
        <v>0.17124309392265194</v>
      </c>
      <c r="O189" s="8">
        <v>20999.999999999985</v>
      </c>
      <c r="P189" s="8">
        <f t="shared" si="342"/>
        <v>1</v>
      </c>
      <c r="Q189" s="8">
        <f t="shared" ref="Q189:Y189" si="373">+Q188</f>
        <v>2.9999999999999998E-14</v>
      </c>
      <c r="R189" s="8">
        <f t="shared" si="373"/>
        <v>0</v>
      </c>
      <c r="S189" s="8">
        <f t="shared" si="373"/>
        <v>10</v>
      </c>
      <c r="T189" s="8">
        <f t="shared" si="373"/>
        <v>2.67</v>
      </c>
      <c r="U189" s="8">
        <f t="shared" si="373"/>
        <v>20</v>
      </c>
      <c r="V189" s="8">
        <f t="shared" si="373"/>
        <v>25</v>
      </c>
      <c r="W189" s="8">
        <f t="shared" si="373"/>
        <v>40</v>
      </c>
      <c r="X189" s="8" t="str">
        <f t="shared" si="373"/>
        <v>N</v>
      </c>
      <c r="Y189" s="8" t="str">
        <f t="shared" si="373"/>
        <v>N</v>
      </c>
      <c r="Z189" s="11"/>
      <c r="AA189" s="11"/>
      <c r="AB189" s="11"/>
      <c r="AC189" s="11"/>
    </row>
    <row r="190" spans="1:29" x14ac:dyDescent="0.25">
      <c r="A190" s="7" t="str">
        <f t="shared" ref="A190" si="374">+A189</f>
        <v>1D, square, phase</v>
      </c>
      <c r="B190" s="8">
        <f t="shared" ref="B190:Q203" si="375">+B189</f>
        <v>0.2</v>
      </c>
      <c r="C190" s="8">
        <f t="shared" si="375"/>
        <v>0.5</v>
      </c>
      <c r="D190" s="8">
        <f t="shared" si="375"/>
        <v>0.5000806581706726</v>
      </c>
      <c r="E190" s="8">
        <f t="shared" si="375"/>
        <v>0</v>
      </c>
      <c r="F190" s="8">
        <f t="shared" si="375"/>
        <v>-5.9523809523809521E-3</v>
      </c>
      <c r="G190" s="8">
        <f t="shared" si="375"/>
        <v>20.618556701030926</v>
      </c>
      <c r="H190" s="8">
        <f t="shared" si="375"/>
        <v>0.24796000000000001</v>
      </c>
      <c r="I190" s="8">
        <v>280500</v>
      </c>
      <c r="J190" s="8">
        <f t="shared" si="375"/>
        <v>0.28906275205678333</v>
      </c>
      <c r="K190" s="8">
        <f t="shared" si="375"/>
        <v>0</v>
      </c>
      <c r="L190" s="8">
        <f t="shared" si="375"/>
        <v>-5.6179775280898875E-3</v>
      </c>
      <c r="M190" s="8">
        <f t="shared" si="375"/>
        <v>20.618556701030926</v>
      </c>
      <c r="N190" s="8">
        <f t="shared" si="375"/>
        <v>0.17124309392265194</v>
      </c>
      <c r="O190" s="8">
        <v>19499.999999999985</v>
      </c>
      <c r="P190" s="8">
        <f t="shared" si="375"/>
        <v>1</v>
      </c>
      <c r="Q190" s="8">
        <f t="shared" si="375"/>
        <v>2.9999999999999998E-14</v>
      </c>
      <c r="R190" s="8">
        <f t="shared" ref="R190:Y190" si="376">+R189</f>
        <v>0</v>
      </c>
      <c r="S190" s="8">
        <f t="shared" si="376"/>
        <v>10</v>
      </c>
      <c r="T190" s="8">
        <f t="shared" si="376"/>
        <v>2.67</v>
      </c>
      <c r="U190" s="8">
        <f t="shared" si="376"/>
        <v>20</v>
      </c>
      <c r="V190" s="8">
        <f t="shared" si="376"/>
        <v>25</v>
      </c>
      <c r="W190" s="8">
        <f t="shared" si="376"/>
        <v>40</v>
      </c>
      <c r="X190" s="8" t="str">
        <f t="shared" si="376"/>
        <v>N</v>
      </c>
      <c r="Y190" s="8" t="str">
        <f t="shared" si="376"/>
        <v>N</v>
      </c>
      <c r="Z190" s="11"/>
      <c r="AA190" s="11"/>
      <c r="AB190" s="11"/>
      <c r="AC190" s="11"/>
    </row>
    <row r="191" spans="1:29" x14ac:dyDescent="0.25">
      <c r="A191" s="7" t="str">
        <f t="shared" ref="A191" si="377">+A190</f>
        <v>1D, square, phase</v>
      </c>
      <c r="B191" s="8">
        <f t="shared" si="375"/>
        <v>0.2</v>
      </c>
      <c r="C191" s="8">
        <f t="shared" si="375"/>
        <v>0.5</v>
      </c>
      <c r="D191" s="8">
        <f t="shared" si="375"/>
        <v>0.5000806581706726</v>
      </c>
      <c r="E191" s="8">
        <f t="shared" si="375"/>
        <v>0</v>
      </c>
      <c r="F191" s="8">
        <f t="shared" si="375"/>
        <v>-5.9523809523809521E-3</v>
      </c>
      <c r="G191" s="8">
        <f t="shared" si="375"/>
        <v>20.618556701030926</v>
      </c>
      <c r="H191" s="8">
        <f t="shared" si="375"/>
        <v>0.24796000000000001</v>
      </c>
      <c r="I191" s="8">
        <v>282000</v>
      </c>
      <c r="J191" s="8">
        <f t="shared" si="375"/>
        <v>0.28906275205678333</v>
      </c>
      <c r="K191" s="8">
        <f t="shared" si="375"/>
        <v>0</v>
      </c>
      <c r="L191" s="8">
        <f t="shared" si="375"/>
        <v>-5.6179775280898875E-3</v>
      </c>
      <c r="M191" s="8">
        <f t="shared" si="375"/>
        <v>20.618556701030926</v>
      </c>
      <c r="N191" s="8">
        <f t="shared" si="375"/>
        <v>0.17124309392265194</v>
      </c>
      <c r="O191" s="8">
        <v>18000.000000000015</v>
      </c>
      <c r="P191" s="8">
        <f t="shared" si="375"/>
        <v>1</v>
      </c>
      <c r="Q191" s="8">
        <f t="shared" si="375"/>
        <v>2.9999999999999998E-14</v>
      </c>
      <c r="R191" s="8">
        <f t="shared" ref="R191:Y191" si="378">+R190</f>
        <v>0</v>
      </c>
      <c r="S191" s="8">
        <f t="shared" si="378"/>
        <v>10</v>
      </c>
      <c r="T191" s="8">
        <f t="shared" si="378"/>
        <v>2.67</v>
      </c>
      <c r="U191" s="8">
        <f t="shared" si="378"/>
        <v>20</v>
      </c>
      <c r="V191" s="8">
        <f t="shared" si="378"/>
        <v>25</v>
      </c>
      <c r="W191" s="8">
        <f t="shared" si="378"/>
        <v>40</v>
      </c>
      <c r="X191" s="8" t="str">
        <f t="shared" si="378"/>
        <v>N</v>
      </c>
      <c r="Y191" s="8" t="str">
        <f t="shared" si="378"/>
        <v>N</v>
      </c>
      <c r="Z191" s="11"/>
      <c r="AA191" s="11"/>
      <c r="AB191" s="11"/>
      <c r="AC191" s="11"/>
    </row>
    <row r="192" spans="1:29" x14ac:dyDescent="0.25">
      <c r="A192" s="7" t="str">
        <f t="shared" ref="A192" si="379">+A191</f>
        <v>1D, square, phase</v>
      </c>
      <c r="B192" s="8">
        <f t="shared" si="375"/>
        <v>0.2</v>
      </c>
      <c r="C192" s="8">
        <f t="shared" si="375"/>
        <v>0.5</v>
      </c>
      <c r="D192" s="8">
        <f t="shared" si="375"/>
        <v>0.5000806581706726</v>
      </c>
      <c r="E192" s="8">
        <f t="shared" si="375"/>
        <v>0</v>
      </c>
      <c r="F192" s="8">
        <f t="shared" si="375"/>
        <v>-5.9523809523809521E-3</v>
      </c>
      <c r="G192" s="8">
        <f t="shared" si="375"/>
        <v>20.618556701030926</v>
      </c>
      <c r="H192" s="8">
        <f t="shared" si="375"/>
        <v>0.24796000000000001</v>
      </c>
      <c r="I192" s="8">
        <v>283500</v>
      </c>
      <c r="J192" s="8">
        <f t="shared" si="375"/>
        <v>0.28906275205678333</v>
      </c>
      <c r="K192" s="8">
        <f t="shared" si="375"/>
        <v>0</v>
      </c>
      <c r="L192" s="8">
        <f t="shared" si="375"/>
        <v>-5.6179775280898875E-3</v>
      </c>
      <c r="M192" s="8">
        <f t="shared" si="375"/>
        <v>20.618556701030926</v>
      </c>
      <c r="N192" s="8">
        <f t="shared" si="375"/>
        <v>0.17124309392265194</v>
      </c>
      <c r="O192" s="8">
        <v>16500.000000000015</v>
      </c>
      <c r="P192" s="8">
        <f t="shared" si="375"/>
        <v>1</v>
      </c>
      <c r="Q192" s="8">
        <f t="shared" si="375"/>
        <v>2.9999999999999998E-14</v>
      </c>
      <c r="R192" s="8">
        <f t="shared" ref="R192:Y192" si="380">+R191</f>
        <v>0</v>
      </c>
      <c r="S192" s="8">
        <f t="shared" si="380"/>
        <v>10</v>
      </c>
      <c r="T192" s="8">
        <f t="shared" si="380"/>
        <v>2.67</v>
      </c>
      <c r="U192" s="8">
        <f t="shared" si="380"/>
        <v>20</v>
      </c>
      <c r="V192" s="8">
        <f t="shared" si="380"/>
        <v>25</v>
      </c>
      <c r="W192" s="8">
        <f t="shared" si="380"/>
        <v>40</v>
      </c>
      <c r="X192" s="8" t="str">
        <f t="shared" si="380"/>
        <v>N</v>
      </c>
      <c r="Y192" s="8" t="str">
        <f t="shared" si="380"/>
        <v>N</v>
      </c>
      <c r="Z192" s="11"/>
      <c r="AA192" s="11"/>
      <c r="AB192" s="11"/>
      <c r="AC192" s="11"/>
    </row>
    <row r="193" spans="1:29" x14ac:dyDescent="0.25">
      <c r="A193" s="7" t="str">
        <f t="shared" ref="A193" si="381">+A192</f>
        <v>1D, square, phase</v>
      </c>
      <c r="B193" s="8">
        <f t="shared" si="375"/>
        <v>0.2</v>
      </c>
      <c r="C193" s="8">
        <f t="shared" si="375"/>
        <v>0.5</v>
      </c>
      <c r="D193" s="8">
        <f t="shared" si="375"/>
        <v>0.5000806581706726</v>
      </c>
      <c r="E193" s="8">
        <f t="shared" si="375"/>
        <v>0</v>
      </c>
      <c r="F193" s="8">
        <f t="shared" si="375"/>
        <v>-5.9523809523809521E-3</v>
      </c>
      <c r="G193" s="8">
        <f t="shared" si="375"/>
        <v>20.618556701030926</v>
      </c>
      <c r="H193" s="8">
        <f t="shared" si="375"/>
        <v>0.24796000000000001</v>
      </c>
      <c r="I193" s="8">
        <v>285000</v>
      </c>
      <c r="J193" s="8">
        <f t="shared" si="375"/>
        <v>0.28906275205678333</v>
      </c>
      <c r="K193" s="8">
        <f t="shared" si="375"/>
        <v>0</v>
      </c>
      <c r="L193" s="8">
        <f t="shared" si="375"/>
        <v>-5.6179775280898875E-3</v>
      </c>
      <c r="M193" s="8">
        <f t="shared" si="375"/>
        <v>20.618556701030926</v>
      </c>
      <c r="N193" s="8">
        <f t="shared" si="375"/>
        <v>0.17124309392265194</v>
      </c>
      <c r="O193" s="8">
        <v>15000.000000000013</v>
      </c>
      <c r="P193" s="8">
        <f t="shared" si="375"/>
        <v>1</v>
      </c>
      <c r="Q193" s="8">
        <f t="shared" si="375"/>
        <v>2.9999999999999998E-14</v>
      </c>
      <c r="R193" s="8">
        <f t="shared" ref="R193:Y193" si="382">+R192</f>
        <v>0</v>
      </c>
      <c r="S193" s="8">
        <f t="shared" si="382"/>
        <v>10</v>
      </c>
      <c r="T193" s="8">
        <f t="shared" si="382"/>
        <v>2.67</v>
      </c>
      <c r="U193" s="8">
        <f t="shared" si="382"/>
        <v>20</v>
      </c>
      <c r="V193" s="8">
        <f t="shared" si="382"/>
        <v>25</v>
      </c>
      <c r="W193" s="8">
        <f t="shared" si="382"/>
        <v>40</v>
      </c>
      <c r="X193" s="8" t="str">
        <f t="shared" si="382"/>
        <v>N</v>
      </c>
      <c r="Y193" s="8" t="str">
        <f t="shared" si="382"/>
        <v>N</v>
      </c>
      <c r="Z193" s="11"/>
      <c r="AA193" s="11"/>
      <c r="AB193" s="11"/>
      <c r="AC193" s="11"/>
    </row>
    <row r="194" spans="1:29" x14ac:dyDescent="0.25">
      <c r="A194" s="7" t="str">
        <f t="shared" ref="A194" si="383">+A193</f>
        <v>1D, square, phase</v>
      </c>
      <c r="B194" s="8">
        <f t="shared" si="375"/>
        <v>0.2</v>
      </c>
      <c r="C194" s="8">
        <f t="shared" si="375"/>
        <v>0.5</v>
      </c>
      <c r="D194" s="8">
        <f t="shared" si="375"/>
        <v>0.5000806581706726</v>
      </c>
      <c r="E194" s="8">
        <f t="shared" si="375"/>
        <v>0</v>
      </c>
      <c r="F194" s="8">
        <f t="shared" si="375"/>
        <v>-5.9523809523809521E-3</v>
      </c>
      <c r="G194" s="8">
        <f t="shared" si="375"/>
        <v>20.618556701030926</v>
      </c>
      <c r="H194" s="8">
        <f t="shared" si="375"/>
        <v>0.24796000000000001</v>
      </c>
      <c r="I194" s="8">
        <v>286500</v>
      </c>
      <c r="J194" s="8">
        <f t="shared" si="375"/>
        <v>0.28906275205678333</v>
      </c>
      <c r="K194" s="8">
        <f t="shared" si="375"/>
        <v>0</v>
      </c>
      <c r="L194" s="8">
        <f t="shared" si="375"/>
        <v>-5.6179775280898875E-3</v>
      </c>
      <c r="M194" s="8">
        <f t="shared" si="375"/>
        <v>20.618556701030926</v>
      </c>
      <c r="N194" s="8">
        <f t="shared" si="375"/>
        <v>0.17124309392265194</v>
      </c>
      <c r="O194" s="8">
        <v>13500.000000000013</v>
      </c>
      <c r="P194" s="8">
        <f t="shared" si="375"/>
        <v>1</v>
      </c>
      <c r="Q194" s="8">
        <f t="shared" si="375"/>
        <v>2.9999999999999998E-14</v>
      </c>
      <c r="R194" s="8">
        <f t="shared" ref="R194:Y194" si="384">+R193</f>
        <v>0</v>
      </c>
      <c r="S194" s="8">
        <f t="shared" si="384"/>
        <v>10</v>
      </c>
      <c r="T194" s="8">
        <f t="shared" si="384"/>
        <v>2.67</v>
      </c>
      <c r="U194" s="8">
        <f t="shared" si="384"/>
        <v>20</v>
      </c>
      <c r="V194" s="8">
        <f t="shared" si="384"/>
        <v>25</v>
      </c>
      <c r="W194" s="8">
        <f t="shared" si="384"/>
        <v>40</v>
      </c>
      <c r="X194" s="8" t="str">
        <f t="shared" si="384"/>
        <v>N</v>
      </c>
      <c r="Y194" s="8" t="str">
        <f t="shared" si="384"/>
        <v>N</v>
      </c>
      <c r="Z194" s="11"/>
      <c r="AA194" s="11"/>
      <c r="AB194" s="11"/>
      <c r="AC194" s="11"/>
    </row>
    <row r="195" spans="1:29" x14ac:dyDescent="0.25">
      <c r="A195" s="7" t="str">
        <f t="shared" ref="A195" si="385">+A194</f>
        <v>1D, square, phase</v>
      </c>
      <c r="B195" s="8">
        <f t="shared" si="375"/>
        <v>0.2</v>
      </c>
      <c r="C195" s="8">
        <f t="shared" si="375"/>
        <v>0.5</v>
      </c>
      <c r="D195" s="8">
        <f t="shared" si="375"/>
        <v>0.5000806581706726</v>
      </c>
      <c r="E195" s="8">
        <f t="shared" si="375"/>
        <v>0</v>
      </c>
      <c r="F195" s="8">
        <f t="shared" si="375"/>
        <v>-5.9523809523809521E-3</v>
      </c>
      <c r="G195" s="8">
        <f t="shared" si="375"/>
        <v>20.618556701030926</v>
      </c>
      <c r="H195" s="8">
        <f t="shared" si="375"/>
        <v>0.24796000000000001</v>
      </c>
      <c r="I195" s="8">
        <v>288000</v>
      </c>
      <c r="J195" s="8">
        <f t="shared" si="375"/>
        <v>0.28906275205678333</v>
      </c>
      <c r="K195" s="8">
        <f t="shared" si="375"/>
        <v>0</v>
      </c>
      <c r="L195" s="8">
        <f t="shared" si="375"/>
        <v>-5.6179775280898875E-3</v>
      </c>
      <c r="M195" s="8">
        <f t="shared" si="375"/>
        <v>20.618556701030926</v>
      </c>
      <c r="N195" s="8">
        <f t="shared" si="375"/>
        <v>0.17124309392265194</v>
      </c>
      <c r="O195" s="8">
        <v>12000.000000000011</v>
      </c>
      <c r="P195" s="8">
        <f t="shared" si="375"/>
        <v>1</v>
      </c>
      <c r="Q195" s="8">
        <f t="shared" si="375"/>
        <v>2.9999999999999998E-14</v>
      </c>
      <c r="R195" s="8">
        <f t="shared" ref="R195:Y195" si="386">+R194</f>
        <v>0</v>
      </c>
      <c r="S195" s="8">
        <f t="shared" si="386"/>
        <v>10</v>
      </c>
      <c r="T195" s="8">
        <f t="shared" si="386"/>
        <v>2.67</v>
      </c>
      <c r="U195" s="8">
        <f t="shared" si="386"/>
        <v>20</v>
      </c>
      <c r="V195" s="8">
        <f t="shared" si="386"/>
        <v>25</v>
      </c>
      <c r="W195" s="8">
        <f t="shared" si="386"/>
        <v>40</v>
      </c>
      <c r="X195" s="8" t="str">
        <f t="shared" si="386"/>
        <v>N</v>
      </c>
      <c r="Y195" s="8" t="str">
        <f t="shared" si="386"/>
        <v>N</v>
      </c>
      <c r="Z195" s="11"/>
      <c r="AA195" s="11"/>
      <c r="AB195" s="11"/>
      <c r="AC195" s="11"/>
    </row>
    <row r="196" spans="1:29" x14ac:dyDescent="0.25">
      <c r="A196" s="7" t="str">
        <f t="shared" ref="A196" si="387">+A195</f>
        <v>1D, square, phase</v>
      </c>
      <c r="B196" s="8">
        <f t="shared" si="375"/>
        <v>0.2</v>
      </c>
      <c r="C196" s="8">
        <f t="shared" si="375"/>
        <v>0.5</v>
      </c>
      <c r="D196" s="8">
        <f t="shared" si="375"/>
        <v>0.5000806581706726</v>
      </c>
      <c r="E196" s="8">
        <f t="shared" si="375"/>
        <v>0</v>
      </c>
      <c r="F196" s="8">
        <f t="shared" si="375"/>
        <v>-5.9523809523809521E-3</v>
      </c>
      <c r="G196" s="8">
        <f t="shared" si="375"/>
        <v>20.618556701030926</v>
      </c>
      <c r="H196" s="8">
        <f t="shared" si="375"/>
        <v>0.24796000000000001</v>
      </c>
      <c r="I196" s="8">
        <v>289500</v>
      </c>
      <c r="J196" s="8">
        <f t="shared" si="375"/>
        <v>0.28906275205678333</v>
      </c>
      <c r="K196" s="8">
        <f t="shared" si="375"/>
        <v>0</v>
      </c>
      <c r="L196" s="8">
        <f t="shared" si="375"/>
        <v>-5.6179775280898875E-3</v>
      </c>
      <c r="M196" s="8">
        <f t="shared" si="375"/>
        <v>20.618556701030926</v>
      </c>
      <c r="N196" s="8">
        <f t="shared" si="375"/>
        <v>0.17124309392265194</v>
      </c>
      <c r="O196" s="8">
        <v>10500.000000000009</v>
      </c>
      <c r="P196" s="8">
        <f t="shared" si="375"/>
        <v>1</v>
      </c>
      <c r="Q196" s="8">
        <f t="shared" si="375"/>
        <v>2.9999999999999998E-14</v>
      </c>
      <c r="R196" s="8">
        <f t="shared" ref="R196:Y196" si="388">+R195</f>
        <v>0</v>
      </c>
      <c r="S196" s="8">
        <f t="shared" si="388"/>
        <v>10</v>
      </c>
      <c r="T196" s="8">
        <f t="shared" si="388"/>
        <v>2.67</v>
      </c>
      <c r="U196" s="8">
        <f t="shared" si="388"/>
        <v>20</v>
      </c>
      <c r="V196" s="8">
        <f t="shared" si="388"/>
        <v>25</v>
      </c>
      <c r="W196" s="8">
        <f t="shared" si="388"/>
        <v>40</v>
      </c>
      <c r="X196" s="8" t="str">
        <f t="shared" si="388"/>
        <v>N</v>
      </c>
      <c r="Y196" s="8" t="str">
        <f t="shared" si="388"/>
        <v>N</v>
      </c>
      <c r="Z196" s="11"/>
      <c r="AA196" s="11"/>
      <c r="AB196" s="11"/>
      <c r="AC196" s="11"/>
    </row>
    <row r="197" spans="1:29" x14ac:dyDescent="0.25">
      <c r="A197" s="7" t="str">
        <f t="shared" ref="A197" si="389">+A196</f>
        <v>1D, square, phase</v>
      </c>
      <c r="B197" s="8">
        <f t="shared" si="375"/>
        <v>0.2</v>
      </c>
      <c r="C197" s="8">
        <f t="shared" si="375"/>
        <v>0.5</v>
      </c>
      <c r="D197" s="8">
        <f t="shared" si="375"/>
        <v>0.5000806581706726</v>
      </c>
      <c r="E197" s="8">
        <f t="shared" si="375"/>
        <v>0</v>
      </c>
      <c r="F197" s="8">
        <f t="shared" si="375"/>
        <v>-5.9523809523809521E-3</v>
      </c>
      <c r="G197" s="8">
        <f t="shared" si="375"/>
        <v>20.618556701030926</v>
      </c>
      <c r="H197" s="8">
        <f t="shared" si="375"/>
        <v>0.24796000000000001</v>
      </c>
      <c r="I197" s="8">
        <v>291000</v>
      </c>
      <c r="J197" s="8">
        <f t="shared" si="375"/>
        <v>0.28906275205678333</v>
      </c>
      <c r="K197" s="8">
        <f t="shared" si="375"/>
        <v>0</v>
      </c>
      <c r="L197" s="8">
        <f t="shared" si="375"/>
        <v>-5.6179775280898875E-3</v>
      </c>
      <c r="M197" s="8">
        <f t="shared" si="375"/>
        <v>20.618556701030926</v>
      </c>
      <c r="N197" s="8">
        <f t="shared" si="375"/>
        <v>0.17124309392265194</v>
      </c>
      <c r="O197" s="8">
        <v>9000.0000000000073</v>
      </c>
      <c r="P197" s="8">
        <f t="shared" si="375"/>
        <v>1</v>
      </c>
      <c r="Q197" s="8">
        <f t="shared" si="375"/>
        <v>2.9999999999999998E-14</v>
      </c>
      <c r="R197" s="8">
        <f t="shared" ref="R197:Y197" si="390">+R196</f>
        <v>0</v>
      </c>
      <c r="S197" s="8">
        <f t="shared" si="390"/>
        <v>10</v>
      </c>
      <c r="T197" s="8">
        <f t="shared" si="390"/>
        <v>2.67</v>
      </c>
      <c r="U197" s="8">
        <f t="shared" si="390"/>
        <v>20</v>
      </c>
      <c r="V197" s="8">
        <f t="shared" si="390"/>
        <v>25</v>
      </c>
      <c r="W197" s="8">
        <f t="shared" si="390"/>
        <v>40</v>
      </c>
      <c r="X197" s="8" t="str">
        <f t="shared" si="390"/>
        <v>N</v>
      </c>
      <c r="Y197" s="8" t="str">
        <f t="shared" si="390"/>
        <v>N</v>
      </c>
      <c r="Z197" s="11"/>
      <c r="AA197" s="11"/>
      <c r="AB197" s="11"/>
      <c r="AC197" s="11"/>
    </row>
    <row r="198" spans="1:29" x14ac:dyDescent="0.25">
      <c r="A198" s="7" t="str">
        <f t="shared" ref="A198" si="391">+A197</f>
        <v>1D, square, phase</v>
      </c>
      <c r="B198" s="8">
        <f t="shared" si="375"/>
        <v>0.2</v>
      </c>
      <c r="C198" s="8">
        <f t="shared" si="375"/>
        <v>0.5</v>
      </c>
      <c r="D198" s="8">
        <f t="shared" si="375"/>
        <v>0.5000806581706726</v>
      </c>
      <c r="E198" s="8">
        <f t="shared" si="375"/>
        <v>0</v>
      </c>
      <c r="F198" s="8">
        <f t="shared" si="375"/>
        <v>-5.9523809523809521E-3</v>
      </c>
      <c r="G198" s="8">
        <f t="shared" si="375"/>
        <v>20.618556701030926</v>
      </c>
      <c r="H198" s="8">
        <f t="shared" si="375"/>
        <v>0.24796000000000001</v>
      </c>
      <c r="I198" s="8">
        <v>292500</v>
      </c>
      <c r="J198" s="8">
        <f t="shared" si="375"/>
        <v>0.28906275205678333</v>
      </c>
      <c r="K198" s="8">
        <f t="shared" si="375"/>
        <v>0</v>
      </c>
      <c r="L198" s="8">
        <f t="shared" si="375"/>
        <v>-5.6179775280898875E-3</v>
      </c>
      <c r="M198" s="8">
        <f t="shared" si="375"/>
        <v>20.618556701030926</v>
      </c>
      <c r="N198" s="8">
        <f t="shared" si="375"/>
        <v>0.17124309392265194</v>
      </c>
      <c r="O198" s="8">
        <v>7500.0000000000064</v>
      </c>
      <c r="P198" s="8">
        <f t="shared" si="375"/>
        <v>1</v>
      </c>
      <c r="Q198" s="8">
        <f t="shared" si="375"/>
        <v>2.9999999999999998E-14</v>
      </c>
      <c r="R198" s="8">
        <f t="shared" ref="R198:Y198" si="392">+R197</f>
        <v>0</v>
      </c>
      <c r="S198" s="8">
        <f t="shared" si="392"/>
        <v>10</v>
      </c>
      <c r="T198" s="8">
        <f t="shared" si="392"/>
        <v>2.67</v>
      </c>
      <c r="U198" s="8">
        <f t="shared" si="392"/>
        <v>20</v>
      </c>
      <c r="V198" s="8">
        <f t="shared" si="392"/>
        <v>25</v>
      </c>
      <c r="W198" s="8">
        <f t="shared" si="392"/>
        <v>40</v>
      </c>
      <c r="X198" s="8" t="str">
        <f t="shared" si="392"/>
        <v>N</v>
      </c>
      <c r="Y198" s="8" t="str">
        <f t="shared" si="392"/>
        <v>N</v>
      </c>
      <c r="Z198" s="11"/>
      <c r="AA198" s="11"/>
      <c r="AB198" s="11"/>
      <c r="AC198" s="11"/>
    </row>
    <row r="199" spans="1:29" x14ac:dyDescent="0.25">
      <c r="A199" s="7" t="str">
        <f t="shared" ref="A199" si="393">+A198</f>
        <v>1D, square, phase</v>
      </c>
      <c r="B199" s="8">
        <f t="shared" si="375"/>
        <v>0.2</v>
      </c>
      <c r="C199" s="8">
        <f t="shared" si="375"/>
        <v>0.5</v>
      </c>
      <c r="D199" s="8">
        <f t="shared" si="375"/>
        <v>0.5000806581706726</v>
      </c>
      <c r="E199" s="8">
        <f t="shared" si="375"/>
        <v>0</v>
      </c>
      <c r="F199" s="8">
        <f t="shared" si="375"/>
        <v>-5.9523809523809521E-3</v>
      </c>
      <c r="G199" s="8">
        <f t="shared" si="375"/>
        <v>20.618556701030926</v>
      </c>
      <c r="H199" s="8">
        <f t="shared" si="375"/>
        <v>0.24796000000000001</v>
      </c>
      <c r="I199" s="8">
        <v>294000</v>
      </c>
      <c r="J199" s="8">
        <f t="shared" si="375"/>
        <v>0.28906275205678333</v>
      </c>
      <c r="K199" s="8">
        <f t="shared" si="375"/>
        <v>0</v>
      </c>
      <c r="L199" s="8">
        <f t="shared" si="375"/>
        <v>-5.6179775280898875E-3</v>
      </c>
      <c r="M199" s="8">
        <f t="shared" si="375"/>
        <v>20.618556701030926</v>
      </c>
      <c r="N199" s="8">
        <f t="shared" si="375"/>
        <v>0.17124309392265194</v>
      </c>
      <c r="O199" s="8">
        <v>6000.0000000000055</v>
      </c>
      <c r="P199" s="8">
        <f t="shared" si="375"/>
        <v>1</v>
      </c>
      <c r="Q199" s="8">
        <f t="shared" si="375"/>
        <v>2.9999999999999998E-14</v>
      </c>
      <c r="R199" s="8">
        <f t="shared" ref="R199:Y199" si="394">+R198</f>
        <v>0</v>
      </c>
      <c r="S199" s="8">
        <f t="shared" si="394"/>
        <v>10</v>
      </c>
      <c r="T199" s="8">
        <f t="shared" si="394"/>
        <v>2.67</v>
      </c>
      <c r="U199" s="8">
        <f t="shared" si="394"/>
        <v>20</v>
      </c>
      <c r="V199" s="8">
        <f t="shared" si="394"/>
        <v>25</v>
      </c>
      <c r="W199" s="8">
        <f t="shared" si="394"/>
        <v>40</v>
      </c>
      <c r="X199" s="8" t="str">
        <f t="shared" si="394"/>
        <v>N</v>
      </c>
      <c r="Y199" s="8" t="str">
        <f t="shared" si="394"/>
        <v>N</v>
      </c>
      <c r="Z199" s="11"/>
      <c r="AA199" s="11"/>
      <c r="AB199" s="11"/>
      <c r="AC199" s="11"/>
    </row>
    <row r="200" spans="1:29" x14ac:dyDescent="0.25">
      <c r="A200" s="7" t="str">
        <f t="shared" ref="A200" si="395">+A199</f>
        <v>1D, square, phase</v>
      </c>
      <c r="B200" s="8">
        <f t="shared" si="375"/>
        <v>0.2</v>
      </c>
      <c r="C200" s="8">
        <f t="shared" si="375"/>
        <v>0.5</v>
      </c>
      <c r="D200" s="8">
        <f t="shared" si="375"/>
        <v>0.5000806581706726</v>
      </c>
      <c r="E200" s="8">
        <f t="shared" si="375"/>
        <v>0</v>
      </c>
      <c r="F200" s="8">
        <f t="shared" si="375"/>
        <v>-5.9523809523809521E-3</v>
      </c>
      <c r="G200" s="8">
        <f t="shared" si="375"/>
        <v>20.618556701030926</v>
      </c>
      <c r="H200" s="8">
        <f t="shared" si="375"/>
        <v>0.24796000000000001</v>
      </c>
      <c r="I200" s="8">
        <v>295500</v>
      </c>
      <c r="J200" s="8">
        <f t="shared" si="375"/>
        <v>0.28906275205678333</v>
      </c>
      <c r="K200" s="8">
        <f t="shared" si="375"/>
        <v>0</v>
      </c>
      <c r="L200" s="8">
        <f t="shared" si="375"/>
        <v>-5.6179775280898875E-3</v>
      </c>
      <c r="M200" s="8">
        <f t="shared" si="375"/>
        <v>20.618556701030926</v>
      </c>
      <c r="N200" s="8">
        <f t="shared" si="375"/>
        <v>0.17124309392265194</v>
      </c>
      <c r="O200" s="8">
        <v>4500.0000000000036</v>
      </c>
      <c r="P200" s="8">
        <f t="shared" si="375"/>
        <v>1</v>
      </c>
      <c r="Q200" s="8">
        <f t="shared" si="375"/>
        <v>2.9999999999999998E-14</v>
      </c>
      <c r="R200" s="8">
        <f t="shared" ref="R200:Y200" si="396">+R199</f>
        <v>0</v>
      </c>
      <c r="S200" s="8">
        <f t="shared" si="396"/>
        <v>10</v>
      </c>
      <c r="T200" s="8">
        <f t="shared" si="396"/>
        <v>2.67</v>
      </c>
      <c r="U200" s="8">
        <f t="shared" si="396"/>
        <v>20</v>
      </c>
      <c r="V200" s="8">
        <f t="shared" si="396"/>
        <v>25</v>
      </c>
      <c r="W200" s="8">
        <f t="shared" si="396"/>
        <v>40</v>
      </c>
      <c r="X200" s="8" t="str">
        <f t="shared" si="396"/>
        <v>N</v>
      </c>
      <c r="Y200" s="8" t="str">
        <f t="shared" si="396"/>
        <v>N</v>
      </c>
      <c r="Z200" s="11"/>
      <c r="AA200" s="11"/>
      <c r="AB200" s="11"/>
      <c r="AC200" s="11"/>
    </row>
    <row r="201" spans="1:29" x14ac:dyDescent="0.25">
      <c r="A201" s="7" t="str">
        <f t="shared" ref="A201" si="397">+A200</f>
        <v>1D, square, phase</v>
      </c>
      <c r="B201" s="8">
        <f t="shared" si="375"/>
        <v>0.2</v>
      </c>
      <c r="C201" s="8">
        <f t="shared" si="375"/>
        <v>0.5</v>
      </c>
      <c r="D201" s="8">
        <f t="shared" si="375"/>
        <v>0.5000806581706726</v>
      </c>
      <c r="E201" s="8">
        <f t="shared" si="375"/>
        <v>0</v>
      </c>
      <c r="F201" s="8">
        <f t="shared" si="375"/>
        <v>-5.9523809523809521E-3</v>
      </c>
      <c r="G201" s="8">
        <f t="shared" si="375"/>
        <v>20.618556701030926</v>
      </c>
      <c r="H201" s="8">
        <f t="shared" si="375"/>
        <v>0.24796000000000001</v>
      </c>
      <c r="I201" s="8">
        <v>297000</v>
      </c>
      <c r="J201" s="8">
        <f t="shared" si="375"/>
        <v>0.28906275205678333</v>
      </c>
      <c r="K201" s="8">
        <f t="shared" si="375"/>
        <v>0</v>
      </c>
      <c r="L201" s="8">
        <f t="shared" si="375"/>
        <v>-5.6179775280898875E-3</v>
      </c>
      <c r="M201" s="8">
        <f t="shared" si="375"/>
        <v>20.618556701030926</v>
      </c>
      <c r="N201" s="8">
        <f t="shared" si="375"/>
        <v>0.17124309392265194</v>
      </c>
      <c r="O201" s="8">
        <v>3000.0000000000027</v>
      </c>
      <c r="P201" s="8">
        <f t="shared" si="375"/>
        <v>1</v>
      </c>
      <c r="Q201" s="8">
        <f t="shared" si="375"/>
        <v>2.9999999999999998E-14</v>
      </c>
      <c r="R201" s="8">
        <f t="shared" ref="R201:Y201" si="398">+R200</f>
        <v>0</v>
      </c>
      <c r="S201" s="8">
        <f t="shared" si="398"/>
        <v>10</v>
      </c>
      <c r="T201" s="8">
        <f t="shared" si="398"/>
        <v>2.67</v>
      </c>
      <c r="U201" s="8">
        <f t="shared" si="398"/>
        <v>20</v>
      </c>
      <c r="V201" s="8">
        <f t="shared" si="398"/>
        <v>25</v>
      </c>
      <c r="W201" s="8">
        <f t="shared" si="398"/>
        <v>40</v>
      </c>
      <c r="X201" s="8" t="str">
        <f t="shared" si="398"/>
        <v>N</v>
      </c>
      <c r="Y201" s="8" t="str">
        <f t="shared" si="398"/>
        <v>N</v>
      </c>
      <c r="Z201" s="11"/>
      <c r="AA201" s="11"/>
      <c r="AB201" s="11"/>
      <c r="AC201" s="11"/>
    </row>
    <row r="202" spans="1:29" x14ac:dyDescent="0.25">
      <c r="A202" s="7" t="str">
        <f t="shared" ref="A202" si="399">+A201</f>
        <v>1D, square, phase</v>
      </c>
      <c r="B202" s="8">
        <f t="shared" si="375"/>
        <v>0.2</v>
      </c>
      <c r="C202" s="8">
        <f t="shared" si="375"/>
        <v>0.5</v>
      </c>
      <c r="D202" s="8">
        <f t="shared" si="375"/>
        <v>0.5000806581706726</v>
      </c>
      <c r="E202" s="8">
        <f t="shared" si="375"/>
        <v>0</v>
      </c>
      <c r="F202" s="8">
        <f t="shared" si="375"/>
        <v>-5.9523809523809521E-3</v>
      </c>
      <c r="G202" s="8">
        <f t="shared" si="375"/>
        <v>20.618556701030926</v>
      </c>
      <c r="H202" s="8">
        <f t="shared" si="375"/>
        <v>0.24796000000000001</v>
      </c>
      <c r="I202" s="8">
        <v>298500</v>
      </c>
      <c r="J202" s="8">
        <f t="shared" si="375"/>
        <v>0.28906275205678333</v>
      </c>
      <c r="K202" s="8">
        <f t="shared" si="375"/>
        <v>0</v>
      </c>
      <c r="L202" s="8">
        <f t="shared" si="375"/>
        <v>-5.6179775280898875E-3</v>
      </c>
      <c r="M202" s="8">
        <f t="shared" si="375"/>
        <v>20.618556701030926</v>
      </c>
      <c r="N202" s="8">
        <f t="shared" si="375"/>
        <v>0.17124309392265194</v>
      </c>
      <c r="O202" s="8">
        <v>1500.0000000000014</v>
      </c>
      <c r="P202" s="8">
        <f t="shared" si="375"/>
        <v>1</v>
      </c>
      <c r="Q202" s="8">
        <f t="shared" si="375"/>
        <v>2.9999999999999998E-14</v>
      </c>
      <c r="R202" s="8">
        <f t="shared" ref="R202:Y202" si="400">+R201</f>
        <v>0</v>
      </c>
      <c r="S202" s="8">
        <f t="shared" si="400"/>
        <v>10</v>
      </c>
      <c r="T202" s="8">
        <f t="shared" si="400"/>
        <v>2.67</v>
      </c>
      <c r="U202" s="8">
        <f t="shared" si="400"/>
        <v>20</v>
      </c>
      <c r="V202" s="8">
        <f t="shared" si="400"/>
        <v>25</v>
      </c>
      <c r="W202" s="8">
        <f t="shared" si="400"/>
        <v>40</v>
      </c>
      <c r="X202" s="8" t="str">
        <f t="shared" si="400"/>
        <v>N</v>
      </c>
      <c r="Y202" s="8" t="str">
        <f t="shared" si="400"/>
        <v>N</v>
      </c>
      <c r="Z202" s="11"/>
      <c r="AA202" s="11"/>
      <c r="AB202" s="11"/>
      <c r="AC202" s="11"/>
    </row>
    <row r="203" spans="1:29" x14ac:dyDescent="0.25">
      <c r="A203" s="7" t="str">
        <f t="shared" ref="A203" si="401">+A202</f>
        <v>1D, square, phase</v>
      </c>
      <c r="B203" s="8">
        <f t="shared" si="375"/>
        <v>0.2</v>
      </c>
      <c r="C203" s="8">
        <f t="shared" si="375"/>
        <v>0.5</v>
      </c>
      <c r="D203" s="8">
        <f t="shared" si="375"/>
        <v>0.5000806581706726</v>
      </c>
      <c r="E203" s="8">
        <f t="shared" si="375"/>
        <v>0</v>
      </c>
      <c r="F203" s="8">
        <f t="shared" si="375"/>
        <v>-5.9523809523809521E-3</v>
      </c>
      <c r="G203" s="8">
        <f t="shared" si="375"/>
        <v>20.618556701030926</v>
      </c>
      <c r="H203" s="8">
        <f t="shared" si="375"/>
        <v>0.24796000000000001</v>
      </c>
      <c r="I203" s="8">
        <v>299999</v>
      </c>
      <c r="J203" s="8">
        <f t="shared" si="375"/>
        <v>0.28906275205678333</v>
      </c>
      <c r="K203" s="8">
        <f t="shared" si="375"/>
        <v>0</v>
      </c>
      <c r="L203" s="8">
        <f t="shared" si="375"/>
        <v>-5.6179775280898875E-3</v>
      </c>
      <c r="M203" s="8">
        <f t="shared" si="375"/>
        <v>20.618556701030926</v>
      </c>
      <c r="N203" s="8">
        <f t="shared" si="375"/>
        <v>0.17124309392265194</v>
      </c>
      <c r="O203" s="8">
        <v>1</v>
      </c>
      <c r="P203" s="8">
        <f t="shared" si="375"/>
        <v>1</v>
      </c>
      <c r="Q203" s="8">
        <f t="shared" si="375"/>
        <v>2.9999999999999998E-14</v>
      </c>
      <c r="R203" s="8">
        <f t="shared" ref="R203:Y203" si="402">+R202</f>
        <v>0</v>
      </c>
      <c r="S203" s="8">
        <f t="shared" si="402"/>
        <v>10</v>
      </c>
      <c r="T203" s="8">
        <f t="shared" si="402"/>
        <v>2.67</v>
      </c>
      <c r="U203" s="8">
        <f t="shared" si="402"/>
        <v>20</v>
      </c>
      <c r="V203" s="8">
        <f t="shared" si="402"/>
        <v>25</v>
      </c>
      <c r="W203" s="8">
        <f t="shared" si="402"/>
        <v>40</v>
      </c>
      <c r="X203" s="8" t="str">
        <f t="shared" si="402"/>
        <v>N</v>
      </c>
      <c r="Y203" s="8" t="str">
        <f t="shared" si="402"/>
        <v>N</v>
      </c>
      <c r="Z203" s="11"/>
      <c r="AA203" s="11"/>
      <c r="AB203" s="11"/>
      <c r="AC203" s="11"/>
    </row>
  </sheetData>
  <mergeCells count="6">
    <mergeCell ref="X1:Y1"/>
    <mergeCell ref="A1:C1"/>
    <mergeCell ref="D1:I1"/>
    <mergeCell ref="J1:O1"/>
    <mergeCell ref="P1:R1"/>
    <mergeCell ref="S1:W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PrecalculatedData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2025-03-06T15:04:19Z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